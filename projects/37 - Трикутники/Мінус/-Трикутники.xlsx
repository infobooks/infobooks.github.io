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7FA89F3E-C94F-4F6C-A102-F51C767BB24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-Рівносторонній" sheetId="2" r:id="rId1"/>
    <sheet name="2-Прямокутний" sheetId="5" r:id="rId2"/>
    <sheet name="3-Тупокутний" sheetId="6" r:id="rId3"/>
    <sheet name="Малюнок" sheetId="7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6" l="1"/>
  <c r="F6" i="6"/>
  <c r="F12" i="6" s="1"/>
  <c r="F5" i="5"/>
  <c r="F6" i="5" s="1"/>
  <c r="F5" i="2"/>
  <c r="F4" i="2"/>
  <c r="F7" i="6" l="1"/>
  <c r="F9" i="6" s="1"/>
  <c r="F8" i="6"/>
  <c r="F7" i="5"/>
  <c r="F12" i="5"/>
  <c r="F11" i="5"/>
  <c r="F11" i="2"/>
  <c r="F6" i="2"/>
  <c r="F7" i="2" s="1"/>
  <c r="F8" i="2" s="1"/>
  <c r="F10" i="6" l="1"/>
  <c r="F12" i="2"/>
  <c r="F9" i="5"/>
  <c r="F10" i="5"/>
  <c r="F8" i="5"/>
  <c r="F9" i="2"/>
  <c r="F10" i="2"/>
</calcChain>
</file>

<file path=xl/sharedStrings.xml><?xml version="1.0" encoding="utf-8"?>
<sst xmlns="http://schemas.openxmlformats.org/spreadsheetml/2006/main" count="33" uniqueCount="13">
  <si>
    <t>Рівносторонній трикутник</t>
  </si>
  <si>
    <r>
      <t xml:space="preserve">Сторона       </t>
    </r>
    <r>
      <rPr>
        <b/>
        <sz val="11"/>
        <rFont val="Calibri"/>
        <family val="2"/>
        <charset val="204"/>
        <scheme val="minor"/>
      </rPr>
      <t>b  =</t>
    </r>
  </si>
  <si>
    <r>
      <t xml:space="preserve">Сторона       </t>
    </r>
    <r>
      <rPr>
        <b/>
        <sz val="11"/>
        <rFont val="Calibri"/>
        <family val="2"/>
        <charset val="204"/>
        <scheme val="minor"/>
      </rPr>
      <t>c  =</t>
    </r>
  </si>
  <si>
    <r>
      <t xml:space="preserve">Периметр       </t>
    </r>
    <r>
      <rPr>
        <b/>
        <sz val="11"/>
        <color theme="1"/>
        <rFont val="Calibri"/>
        <family val="2"/>
        <charset val="204"/>
        <scheme val="minor"/>
      </rPr>
      <t>P  =</t>
    </r>
  </si>
  <si>
    <r>
      <t xml:space="preserve">Площа       </t>
    </r>
    <r>
      <rPr>
        <b/>
        <sz val="11"/>
        <color theme="1"/>
        <rFont val="Calibri"/>
        <family val="2"/>
        <charset val="204"/>
        <scheme val="minor"/>
      </rPr>
      <t>S  =</t>
    </r>
  </si>
  <si>
    <r>
      <t xml:space="preserve">Радіус описаного кола       </t>
    </r>
    <r>
      <rPr>
        <b/>
        <sz val="11"/>
        <color theme="1"/>
        <rFont val="Calibri"/>
        <family val="2"/>
        <charset val="204"/>
        <scheme val="minor"/>
      </rPr>
      <t>R  =</t>
    </r>
  </si>
  <si>
    <r>
      <t xml:space="preserve">Радіус вписаного кола       </t>
    </r>
    <r>
      <rPr>
        <b/>
        <sz val="11"/>
        <rFont val="Calibri"/>
        <family val="2"/>
        <charset val="204"/>
        <scheme val="minor"/>
      </rPr>
      <t>r  =</t>
    </r>
  </si>
  <si>
    <r>
      <t xml:space="preserve">Висота       </t>
    </r>
    <r>
      <rPr>
        <b/>
        <sz val="11"/>
        <color theme="1"/>
        <rFont val="Calibri"/>
        <family val="2"/>
        <charset val="204"/>
        <scheme val="minor"/>
      </rPr>
      <t>h  =</t>
    </r>
  </si>
  <si>
    <r>
      <t xml:space="preserve">Медіана       </t>
    </r>
    <r>
      <rPr>
        <b/>
        <sz val="11"/>
        <color theme="1"/>
        <rFont val="Calibri"/>
        <family val="2"/>
        <charset val="204"/>
        <scheme val="minor"/>
      </rPr>
      <t>m  =</t>
    </r>
  </si>
  <si>
    <r>
      <t xml:space="preserve">Бісектриса       </t>
    </r>
    <r>
      <rPr>
        <b/>
        <sz val="11"/>
        <rFont val="Calibri"/>
        <family val="2"/>
        <charset val="204"/>
        <scheme val="minor"/>
      </rPr>
      <t>b  =</t>
    </r>
  </si>
  <si>
    <r>
      <t xml:space="preserve">Сторона       </t>
    </r>
    <r>
      <rPr>
        <b/>
        <sz val="11"/>
        <rFont val="Calibri"/>
        <family val="2"/>
        <charset val="204"/>
        <scheme val="minor"/>
      </rPr>
      <t>a  =</t>
    </r>
  </si>
  <si>
    <t>Прямокутний трикутник</t>
  </si>
  <si>
    <t>Тупокутний трикутник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</si>
</sst>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36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8" xfId="0" applyBorder="1" applyAlignment="1" applyProtection="1">
      <alignment horizontal="center" vertical="center"/>
      <protection locked="0"/>
    </xf>
    <xf numFmtId="0" fontId="7" fillId="0" borderId="6" xfId="0" applyFont="1" applyBorder="1" applyAlignment="1">
      <alignment textRotation="90"/>
    </xf>
    <xf numFmtId="0" fontId="7" fillId="0" borderId="0" xfId="0" applyFont="1"/>
    <xf numFmtId="0" fontId="7" fillId="0" borderId="0" xfId="0" applyFont="1" applyProtection="1">
      <protection locked="0"/>
    </xf>
    <xf numFmtId="0" fontId="2" fillId="0" borderId="7" xfId="0" applyFont="1" applyBorder="1" applyAlignment="1">
      <alignment textRotation="90"/>
    </xf>
    <xf numFmtId="0" fontId="0" fillId="0" borderId="0" xfId="0" applyProtection="1">
      <protection locked="0"/>
    </xf>
    <xf numFmtId="0" fontId="3" fillId="0" borderId="0" xfId="0" applyFont="1" applyAlignment="1">
      <alignment horizontal="center"/>
    </xf>
    <xf numFmtId="0" fontId="5" fillId="3" borderId="2" xfId="0" applyFont="1" applyFill="1" applyBorder="1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5" fillId="3" borderId="3" xfId="0" applyFont="1" applyFill="1" applyBorder="1" applyAlignment="1">
      <alignment horizontal="right"/>
    </xf>
    <xf numFmtId="0" fontId="0" fillId="2" borderId="9" xfId="0" applyFill="1" applyBorder="1" applyAlignment="1" applyProtection="1">
      <alignment horizontal="center" vertical="center"/>
      <protection locked="0"/>
    </xf>
    <xf numFmtId="0" fontId="5" fillId="3" borderId="10" xfId="0" applyFont="1" applyFill="1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4" xfId="0" applyFont="1" applyBorder="1" applyAlignment="1">
      <alignment horizontal="right"/>
    </xf>
    <xf numFmtId="0" fontId="0" fillId="0" borderId="0" xfId="0" applyAlignment="1">
      <alignment horizontal="left" vertical="center"/>
    </xf>
    <xf numFmtId="0" fontId="5" fillId="0" borderId="5" xfId="0" applyFont="1" applyBorder="1" applyAlignment="1">
      <alignment horizontal="right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/>
    <xf numFmtId="0" fontId="8" fillId="0" borderId="0" xfId="0" applyFont="1"/>
    <xf numFmtId="0" fontId="0" fillId="0" borderId="9" xfId="0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5" fillId="3" borderId="2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horizontal="right" vertical="center"/>
    </xf>
    <xf numFmtId="0" fontId="5" fillId="3" borderId="10" xfId="0" applyFont="1" applyFill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2" fontId="0" fillId="0" borderId="4" xfId="0" applyNumberFormat="1" applyBorder="1" applyAlignment="1" applyProtection="1">
      <alignment horizontal="center" vertical="center"/>
      <protection locked="0"/>
    </xf>
    <xf numFmtId="164" fontId="0" fillId="0" borderId="4" xfId="0" applyNumberFormat="1" applyBorder="1" applyAlignment="1" applyProtection="1">
      <alignment horizontal="center" vertical="center"/>
      <protection locked="0"/>
    </xf>
    <xf numFmtId="2" fontId="0" fillId="0" borderId="5" xfId="0" applyNumberFormat="1" applyBorder="1" applyAlignment="1" applyProtection="1">
      <alignment horizontal="center" vertical="center"/>
      <protection locked="0"/>
    </xf>
    <xf numFmtId="1" fontId="0" fillId="0" borderId="9" xfId="0" applyNumberFormat="1" applyBorder="1" applyAlignment="1" applyProtection="1">
      <alignment horizontal="center" vertical="center"/>
      <protection locked="0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4" xfId="0" applyNumberFormat="1" applyBorder="1" applyAlignment="1" applyProtection="1">
      <alignment horizontal="center" vertical="center"/>
      <protection locked="0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295276</xdr:colOff>
      <xdr:row>0</xdr:row>
      <xdr:rowOff>266700</xdr:rowOff>
    </xdr:from>
    <xdr:to>
      <xdr:col>2</xdr:col>
      <xdr:colOff>352427</xdr:colOff>
      <xdr:row>15</xdr:row>
      <xdr:rowOff>133350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95276" y="266700"/>
          <a:ext cx="2905126" cy="2905125"/>
        </a:xfrm>
        <a:prstGeom prst="ellipse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uk-UA" sz="1100"/>
        </a:p>
      </xdr:txBody>
    </xdr:sp>
    <xdr:clientData/>
  </xdr:twoCellAnchor>
  <xdr:twoCellAnchor>
    <xdr:from>
      <xdr:col>0</xdr:col>
      <xdr:colOff>481996</xdr:colOff>
      <xdr:row>0</xdr:row>
      <xdr:rowOff>281369</xdr:rowOff>
    </xdr:from>
    <xdr:to>
      <xdr:col>2</xdr:col>
      <xdr:colOff>154021</xdr:colOff>
      <xdr:row>11</xdr:row>
      <xdr:rowOff>183944</xdr:rowOff>
    </xdr:to>
    <xdr:sp macro="" textlink="">
      <xdr:nvSpPr>
        <xdr:cNvPr id="3" name="Рівнобедрений трикутни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1996" y="281369"/>
          <a:ext cx="2520000" cy="2160000"/>
        </a:xfrm>
        <a:prstGeom prst="triangle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uk-UA" sz="1100"/>
        </a:p>
      </xdr:txBody>
    </xdr:sp>
    <xdr:clientData/>
  </xdr:twoCellAnchor>
  <xdr:twoCellAnchor editAs="oneCell">
    <xdr:from>
      <xdr:col>9</xdr:col>
      <xdr:colOff>381000</xdr:colOff>
      <xdr:row>1</xdr:row>
      <xdr:rowOff>0</xdr:rowOff>
    </xdr:from>
    <xdr:to>
      <xdr:col>14</xdr:col>
      <xdr:colOff>571500</xdr:colOff>
      <xdr:row>20</xdr:row>
      <xdr:rowOff>0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001125" y="333375"/>
          <a:ext cx="3238500" cy="36576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0</xdr:col>
      <xdr:colOff>1028700</xdr:colOff>
      <xdr:row>4</xdr:row>
      <xdr:rowOff>76200</xdr:rowOff>
    </xdr:from>
    <xdr:to>
      <xdr:col>1</xdr:col>
      <xdr:colOff>733425</xdr:colOff>
      <xdr:row>11</xdr:row>
      <xdr:rowOff>161923</xdr:rowOff>
    </xdr:to>
    <xdr:sp macro="" textlink="">
      <xdr:nvSpPr>
        <xdr:cNvPr id="19" name="Овал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028700" y="990600"/>
          <a:ext cx="1428750" cy="1428748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uk-UA" sz="1100"/>
        </a:p>
      </xdr:txBody>
    </xdr:sp>
    <xdr:clientData/>
  </xdr:twoCellAnchor>
  <xdr:twoCellAnchor>
    <xdr:from>
      <xdr:col>1</xdr:col>
      <xdr:colOff>38101</xdr:colOff>
      <xdr:row>2</xdr:row>
      <xdr:rowOff>158745</xdr:rowOff>
    </xdr:from>
    <xdr:to>
      <xdr:col>1</xdr:col>
      <xdr:colOff>1050931</xdr:colOff>
      <xdr:row>8</xdr:row>
      <xdr:rowOff>28576</xdr:rowOff>
    </xdr:to>
    <xdr:cxnSp macro="">
      <xdr:nvCxnSpPr>
        <xdr:cNvPr id="15" name="Пряма зі стрілкою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>
          <a:endCxn id="5" idx="7"/>
        </xdr:cNvCxnSpPr>
      </xdr:nvCxnSpPr>
      <xdr:spPr>
        <a:xfrm flipV="1">
          <a:off x="1762126" y="692145"/>
          <a:ext cx="1012830" cy="1022356"/>
        </a:xfrm>
        <a:prstGeom prst="straightConnector1">
          <a:avLst/>
        </a:prstGeom>
        <a:ln w="19050">
          <a:solidFill>
            <a:srgbClr val="00B050"/>
          </a:solidFill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481996</xdr:colOff>
      <xdr:row>6</xdr:row>
      <xdr:rowOff>76200</xdr:rowOff>
    </xdr:from>
    <xdr:to>
      <xdr:col>1</xdr:col>
      <xdr:colOff>628650</xdr:colOff>
      <xdr:row>11</xdr:row>
      <xdr:rowOff>183944</xdr:rowOff>
    </xdr:to>
    <xdr:cxnSp macro="">
      <xdr:nvCxnSpPr>
        <xdr:cNvPr id="24" name="Пряма сполучна лінія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>
          <a:stCxn id="3" idx="2"/>
        </xdr:cNvCxnSpPr>
      </xdr:nvCxnSpPr>
      <xdr:spPr>
        <a:xfrm flipV="1">
          <a:off x="481996" y="1381125"/>
          <a:ext cx="1870679" cy="1060244"/>
        </a:xfrm>
        <a:prstGeom prst="line">
          <a:avLst/>
        </a:prstGeom>
        <a:ln w="19050">
          <a:headEnd type="none"/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1028700</xdr:colOff>
      <xdr:row>8</xdr:row>
      <xdr:rowOff>19049</xdr:rowOff>
    </xdr:from>
    <xdr:to>
      <xdr:col>1</xdr:col>
      <xdr:colOff>38101</xdr:colOff>
      <xdr:row>8</xdr:row>
      <xdr:rowOff>28576</xdr:rowOff>
    </xdr:to>
    <xdr:cxnSp macro="">
      <xdr:nvCxnSpPr>
        <xdr:cNvPr id="20" name="Пряма зі стрілкою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>
          <a:endCxn id="19" idx="2"/>
        </xdr:cNvCxnSpPr>
      </xdr:nvCxnSpPr>
      <xdr:spPr>
        <a:xfrm flipH="1" flipV="1">
          <a:off x="1028700" y="1704974"/>
          <a:ext cx="733426" cy="9527"/>
        </a:xfrm>
        <a:prstGeom prst="straightConnector1">
          <a:avLst/>
        </a:prstGeom>
        <a:ln w="19050">
          <a:headEnd type="oval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1524000</xdr:colOff>
      <xdr:row>19</xdr:row>
      <xdr:rowOff>28575</xdr:rowOff>
    </xdr:from>
    <xdr:to>
      <xdr:col>9</xdr:col>
      <xdr:colOff>304800</xdr:colOff>
      <xdr:row>21</xdr:row>
      <xdr:rowOff>180975</xdr:rowOff>
    </xdr:to>
    <xdr:pic>
      <xdr:nvPicPr>
        <xdr:cNvPr id="10" name="Picture 6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591175" y="3829050"/>
          <a:ext cx="3333750" cy="5334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571500</xdr:colOff>
      <xdr:row>16</xdr:row>
      <xdr:rowOff>123825</xdr:rowOff>
    </xdr:from>
    <xdr:to>
      <xdr:col>4</xdr:col>
      <xdr:colOff>466725</xdr:colOff>
      <xdr:row>23</xdr:row>
      <xdr:rowOff>66675</xdr:rowOff>
    </xdr:to>
    <xdr:pic>
      <xdr:nvPicPr>
        <xdr:cNvPr id="2072" name="Picture 24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71500" y="3352800"/>
          <a:ext cx="3962400" cy="12763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6</xdr:col>
      <xdr:colOff>220980</xdr:colOff>
      <xdr:row>1</xdr:row>
      <xdr:rowOff>106680</xdr:rowOff>
    </xdr:from>
    <xdr:to>
      <xdr:col>8</xdr:col>
      <xdr:colOff>175260</xdr:colOff>
      <xdr:row>16</xdr:row>
      <xdr:rowOff>137160</xdr:rowOff>
    </xdr:to>
    <xdr:pic>
      <xdr:nvPicPr>
        <xdr:cNvPr id="2068" name="Picture 20">
          <a:extLst>
            <a:ext uri="{FF2B5EF4-FFF2-40B4-BE49-F238E27FC236}">
              <a16:creationId xmlns:a16="http://schemas.microsoft.com/office/drawing/2014/main" id="{22107DD2-1C8F-C368-AAAB-53FA895CB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8520" y="434340"/>
          <a:ext cx="1203960" cy="28117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0</xdr:row>
      <xdr:rowOff>0</xdr:rowOff>
    </xdr:from>
    <xdr:to>
      <xdr:col>3</xdr:col>
      <xdr:colOff>304800</xdr:colOff>
      <xdr:row>16</xdr:row>
      <xdr:rowOff>116295</xdr:rowOff>
    </xdr:to>
    <xdr:sp macro="" textlink="">
      <xdr:nvSpPr>
        <xdr:cNvPr id="16" name="Овал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85775" y="0"/>
          <a:ext cx="3276600" cy="3345270"/>
        </a:xfrm>
        <a:prstGeom prst="ellipse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uk-UA" sz="1100"/>
        </a:p>
      </xdr:txBody>
    </xdr:sp>
    <xdr:clientData/>
  </xdr:twoCellAnchor>
  <xdr:twoCellAnchor editAs="absolute">
    <xdr:from>
      <xdr:col>0</xdr:col>
      <xdr:colOff>704850</xdr:colOff>
      <xdr:row>3</xdr:row>
      <xdr:rowOff>133349</xdr:rowOff>
    </xdr:from>
    <xdr:to>
      <xdr:col>3</xdr:col>
      <xdr:colOff>82275</xdr:colOff>
      <xdr:row>12</xdr:row>
      <xdr:rowOff>19799</xdr:rowOff>
    </xdr:to>
    <xdr:sp macro="" textlink="">
      <xdr:nvSpPr>
        <xdr:cNvPr id="5" name="Прямокутний трикутник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704850" y="857249"/>
          <a:ext cx="2835000" cy="1620000"/>
        </a:xfrm>
        <a:prstGeom prst="rtTriangle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uk-UA" sz="1100"/>
        </a:p>
      </xdr:txBody>
    </xdr:sp>
    <xdr:clientData/>
  </xdr:twoCellAnchor>
  <xdr:twoCellAnchor editAs="oneCell">
    <xdr:from>
      <xdr:col>9</xdr:col>
      <xdr:colOff>161925</xdr:colOff>
      <xdr:row>0</xdr:row>
      <xdr:rowOff>257175</xdr:rowOff>
    </xdr:from>
    <xdr:to>
      <xdr:col>14</xdr:col>
      <xdr:colOff>352425</xdr:colOff>
      <xdr:row>19</xdr:row>
      <xdr:rowOff>114300</xdr:rowOff>
    </xdr:to>
    <xdr:pic>
      <xdr:nvPicPr>
        <xdr:cNvPr id="15" name="Picture 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82050" y="257175"/>
          <a:ext cx="3238500" cy="36576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0</xdr:col>
      <xdr:colOff>704849</xdr:colOff>
      <xdr:row>5</xdr:row>
      <xdr:rowOff>171449</xdr:rowOff>
    </xdr:from>
    <xdr:to>
      <xdr:col>1</xdr:col>
      <xdr:colOff>171450</xdr:colOff>
      <xdr:row>12</xdr:row>
      <xdr:rowOff>19049</xdr:rowOff>
    </xdr:to>
    <xdr:sp macro="" textlink="">
      <xdr:nvSpPr>
        <xdr:cNvPr id="17" name="Овал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704849" y="1285874"/>
          <a:ext cx="1190626" cy="1190625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uk-UA" sz="1100"/>
        </a:p>
      </xdr:txBody>
    </xdr:sp>
    <xdr:clientData/>
  </xdr:twoCellAnchor>
  <xdr:twoCellAnchor>
    <xdr:from>
      <xdr:col>1</xdr:col>
      <xdr:colOff>398325</xdr:colOff>
      <xdr:row>0</xdr:row>
      <xdr:rowOff>0</xdr:rowOff>
    </xdr:from>
    <xdr:to>
      <xdr:col>1</xdr:col>
      <xdr:colOff>400050</xdr:colOff>
      <xdr:row>7</xdr:row>
      <xdr:rowOff>171824</xdr:rowOff>
    </xdr:to>
    <xdr:cxnSp macro="">
      <xdr:nvCxnSpPr>
        <xdr:cNvPr id="18" name="Пряма зі стрілкою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>
          <a:stCxn id="5" idx="5"/>
          <a:endCxn id="16" idx="0"/>
        </xdr:cNvCxnSpPr>
      </xdr:nvCxnSpPr>
      <xdr:spPr>
        <a:xfrm flipV="1">
          <a:off x="2122350" y="0"/>
          <a:ext cx="1725" cy="1667249"/>
        </a:xfrm>
        <a:prstGeom prst="straightConnector1">
          <a:avLst/>
        </a:prstGeom>
        <a:ln w="19050">
          <a:solidFill>
            <a:srgbClr val="00B050"/>
          </a:solidFill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704850</xdr:colOff>
      <xdr:row>7</xdr:row>
      <xdr:rowOff>171824</xdr:rowOff>
    </xdr:from>
    <xdr:to>
      <xdr:col>1</xdr:col>
      <xdr:colOff>398325</xdr:colOff>
      <xdr:row>12</xdr:row>
      <xdr:rowOff>19799</xdr:rowOff>
    </xdr:to>
    <xdr:cxnSp macro="">
      <xdr:nvCxnSpPr>
        <xdr:cNvPr id="24" name="Пряма сполучна лінія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>
          <a:stCxn id="5" idx="2"/>
          <a:endCxn id="5" idx="5"/>
        </xdr:cNvCxnSpPr>
      </xdr:nvCxnSpPr>
      <xdr:spPr>
        <a:xfrm flipV="1">
          <a:off x="704850" y="1667249"/>
          <a:ext cx="1417500" cy="810000"/>
        </a:xfrm>
        <a:prstGeom prst="line">
          <a:avLst/>
        </a:prstGeom>
        <a:ln w="19050">
          <a:solidFill>
            <a:schemeClr val="tx1"/>
          </a:solidFill>
          <a:tailEnd type="oval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704850</xdr:colOff>
      <xdr:row>6</xdr:row>
      <xdr:rowOff>155312</xdr:rowOff>
    </xdr:from>
    <xdr:to>
      <xdr:col>0</xdr:col>
      <xdr:colOff>1721112</xdr:colOff>
      <xdr:row>12</xdr:row>
      <xdr:rowOff>19799</xdr:rowOff>
    </xdr:to>
    <xdr:cxnSp macro="">
      <xdr:nvCxnSpPr>
        <xdr:cNvPr id="27" name="Пряма сполучна лінія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>
          <a:stCxn id="5" idx="2"/>
          <a:endCxn id="17" idx="7"/>
        </xdr:cNvCxnSpPr>
      </xdr:nvCxnSpPr>
      <xdr:spPr>
        <a:xfrm flipV="1">
          <a:off x="704850" y="1460237"/>
          <a:ext cx="1016262" cy="1017012"/>
        </a:xfrm>
        <a:prstGeom prst="line">
          <a:avLst/>
        </a:prstGeom>
        <a:ln w="19050">
          <a:solidFill>
            <a:srgbClr val="FFC000"/>
          </a:solidFill>
          <a:headEnd type="none"/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879212</xdr:colOff>
      <xdr:row>6</xdr:row>
      <xdr:rowOff>155312</xdr:rowOff>
    </xdr:from>
    <xdr:to>
      <xdr:col>0</xdr:col>
      <xdr:colOff>1304925</xdr:colOff>
      <xdr:row>8</xdr:row>
      <xdr:rowOff>171450</xdr:rowOff>
    </xdr:to>
    <xdr:cxnSp macro="">
      <xdr:nvCxnSpPr>
        <xdr:cNvPr id="21" name="Пряма зі стрілкою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>
          <a:endCxn id="17" idx="1"/>
        </xdr:cNvCxnSpPr>
      </xdr:nvCxnSpPr>
      <xdr:spPr>
        <a:xfrm flipH="1" flipV="1">
          <a:off x="879212" y="1460237"/>
          <a:ext cx="425713" cy="397138"/>
        </a:xfrm>
        <a:prstGeom prst="straightConnector1">
          <a:avLst/>
        </a:prstGeom>
        <a:ln w="19050">
          <a:headEnd type="oval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1314450</xdr:colOff>
      <xdr:row>17</xdr:row>
      <xdr:rowOff>180975</xdr:rowOff>
    </xdr:from>
    <xdr:to>
      <xdr:col>9</xdr:col>
      <xdr:colOff>95250</xdr:colOff>
      <xdr:row>20</xdr:row>
      <xdr:rowOff>142875</xdr:rowOff>
    </xdr:to>
    <xdr:pic>
      <xdr:nvPicPr>
        <xdr:cNvPr id="11" name="Picture 6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81625" y="3600450"/>
          <a:ext cx="3333750" cy="5334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923925</xdr:colOff>
      <xdr:row>16</xdr:row>
      <xdr:rowOff>171450</xdr:rowOff>
    </xdr:from>
    <xdr:to>
      <xdr:col>4</xdr:col>
      <xdr:colOff>819150</xdr:colOff>
      <xdr:row>23</xdr:row>
      <xdr:rowOff>114300</xdr:rowOff>
    </xdr:to>
    <xdr:pic>
      <xdr:nvPicPr>
        <xdr:cNvPr id="13" name="Picture 2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23925" y="3400425"/>
          <a:ext cx="3962400" cy="12763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1</xdr:row>
          <xdr:rowOff>99060</xdr:rowOff>
        </xdr:from>
        <xdr:to>
          <xdr:col>8</xdr:col>
          <xdr:colOff>167640</xdr:colOff>
          <xdr:row>15</xdr:row>
          <xdr:rowOff>137160</xdr:rowOff>
        </xdr:to>
        <xdr:sp macro="" textlink="">
          <xdr:nvSpPr>
            <xdr:cNvPr id="6147" name="Object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1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962025</xdr:colOff>
      <xdr:row>0</xdr:row>
      <xdr:rowOff>247650</xdr:rowOff>
    </xdr:from>
    <xdr:to>
      <xdr:col>2</xdr:col>
      <xdr:colOff>590552</xdr:colOff>
      <xdr:row>13</xdr:row>
      <xdr:rowOff>76201</xdr:rowOff>
    </xdr:to>
    <xdr:sp macro="" textlink="">
      <xdr:nvSpPr>
        <xdr:cNvPr id="10" name="Овал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962025" y="247650"/>
          <a:ext cx="2476502" cy="2476501"/>
        </a:xfrm>
        <a:prstGeom prst="ellipse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uk-UA" sz="1100"/>
        </a:p>
      </xdr:txBody>
    </xdr:sp>
    <xdr:clientData/>
  </xdr:twoCellAnchor>
  <xdr:twoCellAnchor editAs="oneCell">
    <xdr:from>
      <xdr:col>10</xdr:col>
      <xdr:colOff>276225</xdr:colOff>
      <xdr:row>1</xdr:row>
      <xdr:rowOff>66675</xdr:rowOff>
    </xdr:from>
    <xdr:to>
      <xdr:col>15</xdr:col>
      <xdr:colOff>466725</xdr:colOff>
      <xdr:row>20</xdr:row>
      <xdr:rowOff>66675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05950" y="400050"/>
          <a:ext cx="3238500" cy="36576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</xdr:col>
      <xdr:colOff>476250</xdr:colOff>
      <xdr:row>2</xdr:row>
      <xdr:rowOff>76925</xdr:rowOff>
    </xdr:from>
    <xdr:to>
      <xdr:col>2</xdr:col>
      <xdr:colOff>227876</xdr:colOff>
      <xdr:row>6</xdr:row>
      <xdr:rowOff>171450</xdr:rowOff>
    </xdr:to>
    <xdr:cxnSp macro="">
      <xdr:nvCxnSpPr>
        <xdr:cNvPr id="12" name="Пряма зі стрілкою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>
          <a:endCxn id="10" idx="7"/>
        </xdr:cNvCxnSpPr>
      </xdr:nvCxnSpPr>
      <xdr:spPr>
        <a:xfrm flipV="1">
          <a:off x="2200275" y="610325"/>
          <a:ext cx="875576" cy="866050"/>
        </a:xfrm>
        <a:prstGeom prst="straightConnector1">
          <a:avLst/>
        </a:prstGeom>
        <a:ln w="19050">
          <a:solidFill>
            <a:srgbClr val="00B050"/>
          </a:solidFill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1352550</xdr:colOff>
      <xdr:row>8</xdr:row>
      <xdr:rowOff>152400</xdr:rowOff>
    </xdr:from>
    <xdr:to>
      <xdr:col>1</xdr:col>
      <xdr:colOff>276833</xdr:colOff>
      <xdr:row>11</xdr:row>
      <xdr:rowOff>190500</xdr:rowOff>
    </xdr:to>
    <xdr:sp macro="" textlink="">
      <xdr:nvSpPr>
        <xdr:cNvPr id="11" name="Овал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352550" y="1838325"/>
          <a:ext cx="648308" cy="609600"/>
        </a:xfrm>
        <a:prstGeom prst="ellipse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uk-UA" sz="1100"/>
        </a:p>
      </xdr:txBody>
    </xdr:sp>
    <xdr:clientData/>
  </xdr:twoCellAnchor>
  <xdr:twoCellAnchor editAs="absolute">
    <xdr:from>
      <xdr:col>0</xdr:col>
      <xdr:colOff>1343025</xdr:colOff>
      <xdr:row>2</xdr:row>
      <xdr:rowOff>38100</xdr:rowOff>
    </xdr:from>
    <xdr:to>
      <xdr:col>1</xdr:col>
      <xdr:colOff>555353</xdr:colOff>
      <xdr:row>13</xdr:row>
      <xdr:rowOff>83550</xdr:rowOff>
    </xdr:to>
    <xdr:grpSp>
      <xdr:nvGrpSpPr>
        <xdr:cNvPr id="6" name="Групувати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>
          <a:grpSpLocks noChangeAspect="1"/>
        </xdr:cNvGrpSpPr>
      </xdr:nvGrpSpPr>
      <xdr:grpSpPr>
        <a:xfrm>
          <a:off x="1343025" y="556260"/>
          <a:ext cx="987788" cy="2072370"/>
          <a:chOff x="6819903" y="942975"/>
          <a:chExt cx="838197" cy="1933575"/>
        </a:xfrm>
        <a:effectLst/>
      </xdr:grpSpPr>
      <xdr:cxnSp macro="">
        <xdr:nvCxnSpPr>
          <xdr:cNvPr id="7" name="Пряма сполучна лінія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CxnSpPr/>
        </xdr:nvCxnSpPr>
        <xdr:spPr>
          <a:xfrm rot="5400000">
            <a:off x="6024566" y="1738312"/>
            <a:ext cx="1600199" cy="9525"/>
          </a:xfrm>
          <a:prstGeom prst="line">
            <a:avLst/>
          </a:prstGeom>
          <a:ln>
            <a:tailEnd type="none"/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Пряма сполучна лінія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CxnSpPr/>
        </xdr:nvCxnSpPr>
        <xdr:spPr>
          <a:xfrm>
            <a:off x="6829425" y="2533650"/>
            <a:ext cx="828675" cy="333375"/>
          </a:xfrm>
          <a:prstGeom prst="line">
            <a:avLst/>
          </a:prstGeom>
          <a:ln/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Пряма сполучна лінія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CxnSpPr/>
        </xdr:nvCxnSpPr>
        <xdr:spPr>
          <a:xfrm rot="16200000" flipH="1">
            <a:off x="6286502" y="1514475"/>
            <a:ext cx="1914526" cy="809624"/>
          </a:xfrm>
          <a:prstGeom prst="line">
            <a:avLst/>
          </a:prstGeom>
          <a:ln/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1324701</xdr:colOff>
      <xdr:row>7</xdr:row>
      <xdr:rowOff>133350</xdr:rowOff>
    </xdr:from>
    <xdr:to>
      <xdr:col>1</xdr:col>
      <xdr:colOff>66675</xdr:colOff>
      <xdr:row>11</xdr:row>
      <xdr:rowOff>104051</xdr:rowOff>
    </xdr:to>
    <xdr:cxnSp macro="">
      <xdr:nvCxnSpPr>
        <xdr:cNvPr id="40" name="Пряма сполучна лінія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>
          <a:stCxn id="10" idx="3"/>
        </xdr:cNvCxnSpPr>
      </xdr:nvCxnSpPr>
      <xdr:spPr>
        <a:xfrm flipV="1">
          <a:off x="1324701" y="1628775"/>
          <a:ext cx="465999" cy="732701"/>
        </a:xfrm>
        <a:prstGeom prst="line">
          <a:avLst/>
        </a:prstGeom>
        <a:ln w="19050">
          <a:solidFill>
            <a:schemeClr val="tx1"/>
          </a:solidFill>
          <a:tailEnd type="oval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1324701</xdr:colOff>
      <xdr:row>9</xdr:row>
      <xdr:rowOff>142875</xdr:rowOff>
    </xdr:from>
    <xdr:to>
      <xdr:col>1</xdr:col>
      <xdr:colOff>228600</xdr:colOff>
      <xdr:row>11</xdr:row>
      <xdr:rowOff>104051</xdr:rowOff>
    </xdr:to>
    <xdr:cxnSp macro="">
      <xdr:nvCxnSpPr>
        <xdr:cNvPr id="24" name="Пряма сполучна лінія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>
          <a:stCxn id="10" idx="3"/>
        </xdr:cNvCxnSpPr>
      </xdr:nvCxnSpPr>
      <xdr:spPr>
        <a:xfrm flipV="1">
          <a:off x="1324701" y="2019300"/>
          <a:ext cx="627924" cy="342176"/>
        </a:xfrm>
        <a:prstGeom prst="line">
          <a:avLst/>
        </a:prstGeom>
        <a:ln w="19050">
          <a:solidFill>
            <a:srgbClr val="FFC000"/>
          </a:solidFill>
          <a:headEnd type="none"/>
          <a:tailEnd type="oval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1685925</xdr:colOff>
      <xdr:row>10</xdr:row>
      <xdr:rowOff>95250</xdr:rowOff>
    </xdr:from>
    <xdr:to>
      <xdr:col>1</xdr:col>
      <xdr:colOff>181890</xdr:colOff>
      <xdr:row>11</xdr:row>
      <xdr:rowOff>101226</xdr:rowOff>
    </xdr:to>
    <xdr:cxnSp macro="">
      <xdr:nvCxnSpPr>
        <xdr:cNvPr id="15" name="Пряма зі стрілкою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>
          <a:endCxn id="11" idx="5"/>
        </xdr:cNvCxnSpPr>
      </xdr:nvCxnSpPr>
      <xdr:spPr>
        <a:xfrm>
          <a:off x="1685925" y="2162175"/>
          <a:ext cx="219990" cy="196476"/>
        </a:xfrm>
        <a:prstGeom prst="straightConnector1">
          <a:avLst/>
        </a:prstGeom>
        <a:ln w="19050">
          <a:headEnd type="oval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1114425</xdr:colOff>
      <xdr:row>17</xdr:row>
      <xdr:rowOff>19050</xdr:rowOff>
    </xdr:from>
    <xdr:to>
      <xdr:col>8</xdr:col>
      <xdr:colOff>504825</xdr:colOff>
      <xdr:row>19</xdr:row>
      <xdr:rowOff>171450</xdr:rowOff>
    </xdr:to>
    <xdr:pic>
      <xdr:nvPicPr>
        <xdr:cNvPr id="7174" name="Picture 6">
          <a:extLst>
            <a:ext uri="{FF2B5EF4-FFF2-40B4-BE49-F238E27FC236}">
              <a16:creationId xmlns:a16="http://schemas.microsoft.com/office/drawing/2014/main" id="{00000000-0008-0000-02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181600" y="3438525"/>
          <a:ext cx="3333750" cy="5334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657225</xdr:colOff>
      <xdr:row>14</xdr:row>
      <xdr:rowOff>47625</xdr:rowOff>
    </xdr:from>
    <xdr:to>
      <xdr:col>4</xdr:col>
      <xdr:colOff>552450</xdr:colOff>
      <xdr:row>20</xdr:row>
      <xdr:rowOff>180975</xdr:rowOff>
    </xdr:to>
    <xdr:pic>
      <xdr:nvPicPr>
        <xdr:cNvPr id="18" name="Picture 24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657225" y="2895600"/>
          <a:ext cx="3962400" cy="12763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</xdr:colOff>
          <xdr:row>2</xdr:row>
          <xdr:rowOff>38100</xdr:rowOff>
        </xdr:from>
        <xdr:to>
          <xdr:col>10</xdr:col>
          <xdr:colOff>68580</xdr:colOff>
          <xdr:row>14</xdr:row>
          <xdr:rowOff>137160</xdr:rowOff>
        </xdr:to>
        <xdr:sp macro="" textlink="">
          <xdr:nvSpPr>
            <xdr:cNvPr id="7171" name="Object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2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1</xdr:row>
      <xdr:rowOff>9525</xdr:rowOff>
    </xdr:from>
    <xdr:to>
      <xdr:col>5</xdr:col>
      <xdr:colOff>523877</xdr:colOff>
      <xdr:row>17</xdr:row>
      <xdr:rowOff>38101</xdr:rowOff>
    </xdr:to>
    <xdr:grpSp>
      <xdr:nvGrpSpPr>
        <xdr:cNvPr id="2" name="Групувати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495300" y="192405"/>
          <a:ext cx="3076577" cy="2954656"/>
          <a:chOff x="8582022" y="742950"/>
          <a:chExt cx="3076577" cy="3076576"/>
        </a:xfrm>
      </xdr:grpSpPr>
      <xdr:sp macro="" textlink="">
        <xdr:nvSpPr>
          <xdr:cNvPr id="3" name="Овал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/>
        </xdr:nvSpPr>
        <xdr:spPr>
          <a:xfrm>
            <a:off x="8582022" y="742950"/>
            <a:ext cx="3076577" cy="3076576"/>
          </a:xfrm>
          <a:prstGeom prst="ellipse">
            <a:avLst/>
          </a:prstGeom>
          <a:ln/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uk-UA" sz="1100"/>
          </a:p>
        </xdr:txBody>
      </xdr:sp>
      <xdr:sp macro="" textlink="">
        <xdr:nvSpPr>
          <xdr:cNvPr id="4" name="Прямокутний трикутник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 rot="8128824">
            <a:off x="9048750" y="1209675"/>
            <a:ext cx="2160000" cy="2160000"/>
          </a:xfrm>
          <a:prstGeom prst="rtTriangle">
            <a:avLst/>
          </a:prstGeom>
          <a:ln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endParaRPr lang="uk-UA" sz="1100"/>
          </a:p>
        </xdr:txBody>
      </xdr:sp>
      <xdr:sp macro="" textlink="">
        <xdr:nvSpPr>
          <xdr:cNvPr id="5" name="Овал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9505950" y="1038224"/>
            <a:ext cx="1238253" cy="1238251"/>
          </a:xfrm>
          <a:prstGeom prst="ellipse">
            <a:avLst/>
          </a:prstGeom>
          <a:solidFill>
            <a:schemeClr val="accent6">
              <a:lumMod val="20000"/>
              <a:lumOff val="80000"/>
            </a:schemeClr>
          </a:solidFill>
          <a:ln w="63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uk-UA" sz="1100"/>
          </a:p>
        </xdr:txBody>
      </xdr:sp>
      <xdr:cxnSp macro="">
        <xdr:nvCxnSpPr>
          <xdr:cNvPr id="6" name="Пряма сполучна лінія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/>
        </xdr:nvCxnSpPr>
        <xdr:spPr>
          <a:xfrm rot="10800000" flipH="1">
            <a:off x="8601453" y="1532430"/>
            <a:ext cx="2297348" cy="744439"/>
          </a:xfrm>
          <a:prstGeom prst="line">
            <a:avLst/>
          </a:prstGeom>
          <a:ln w="19050">
            <a:headEnd type="none"/>
            <a:tailEnd type="oval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" name="Пряма сполучна лінія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CxnSpPr>
            <a:stCxn id="4" idx="4"/>
          </xdr:cNvCxnSpPr>
        </xdr:nvCxnSpPr>
        <xdr:spPr>
          <a:xfrm flipV="1">
            <a:off x="8601453" y="1390650"/>
            <a:ext cx="2152272" cy="886219"/>
          </a:xfrm>
          <a:prstGeom prst="line">
            <a:avLst/>
          </a:prstGeom>
          <a:ln w="19050">
            <a:solidFill>
              <a:srgbClr val="FFC000"/>
            </a:solidFill>
            <a:tailEnd type="oval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8" name="Пряма зі стрілкою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CxnSpPr>
            <a:stCxn id="4" idx="5"/>
            <a:endCxn id="3" idx="5"/>
          </xdr:cNvCxnSpPr>
        </xdr:nvCxnSpPr>
        <xdr:spPr>
          <a:xfrm>
            <a:off x="10128750" y="2289675"/>
            <a:ext cx="1079294" cy="1079297"/>
          </a:xfrm>
          <a:prstGeom prst="straightConnector1">
            <a:avLst/>
          </a:prstGeom>
          <a:ln w="19050">
            <a:solidFill>
              <a:srgbClr val="00B050"/>
            </a:solidFill>
            <a:headEnd type="oval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Пряма зі стрілкою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CxnSpPr/>
        </xdr:nvCxnSpPr>
        <xdr:spPr>
          <a:xfrm>
            <a:off x="10125075" y="1657350"/>
            <a:ext cx="533400" cy="314325"/>
          </a:xfrm>
          <a:prstGeom prst="straightConnector1">
            <a:avLst/>
          </a:prstGeom>
          <a:ln w="19050">
            <a:headEnd type="oval"/>
            <a:tailEnd type="arrow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5.emf"/><Relationship Id="rId4" Type="http://schemas.openxmlformats.org/officeDocument/2006/relationships/package" Target="../embeddings/Microsoft_Word_Document.docx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6.emf"/><Relationship Id="rId4" Type="http://schemas.openxmlformats.org/officeDocument/2006/relationships/package" Target="../embeddings/Microsoft_Word_Document1.docx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F13" sqref="F13"/>
    </sheetView>
  </sheetViews>
  <sheetFormatPr defaultColWidth="9.109375" defaultRowHeight="14.4" x14ac:dyDescent="0.3"/>
  <cols>
    <col min="1" max="1" width="25.88671875" customWidth="1"/>
    <col min="2" max="2" width="16.88671875" bestFit="1" customWidth="1"/>
    <col min="3" max="4" width="9.109375" customWidth="1"/>
    <col min="5" max="5" width="27" bestFit="1" customWidth="1"/>
    <col min="6" max="6" width="13.88671875" customWidth="1"/>
  </cols>
  <sheetData>
    <row r="1" spans="1:6" s="3" customFormat="1" ht="25.8" x14ac:dyDescent="0.5">
      <c r="A1" s="2"/>
      <c r="E1" s="4" t="s">
        <v>0</v>
      </c>
    </row>
    <row r="2" spans="1:6" ht="15" thickBot="1" x14ac:dyDescent="0.35">
      <c r="A2" s="5"/>
      <c r="B2" s="6"/>
    </row>
    <row r="3" spans="1:6" x14ac:dyDescent="0.3">
      <c r="A3" s="5"/>
      <c r="B3" s="6"/>
      <c r="C3" s="7"/>
      <c r="E3" s="8" t="s">
        <v>10</v>
      </c>
      <c r="F3" s="9">
        <v>23</v>
      </c>
    </row>
    <row r="4" spans="1:6" x14ac:dyDescent="0.3">
      <c r="A4" s="5"/>
      <c r="B4" s="6"/>
      <c r="E4" s="10" t="s">
        <v>1</v>
      </c>
      <c r="F4" s="22">
        <f>F3</f>
        <v>23</v>
      </c>
    </row>
    <row r="5" spans="1:6" ht="15" thickBot="1" x14ac:dyDescent="0.35">
      <c r="A5" s="5"/>
      <c r="B5" s="6"/>
      <c r="E5" s="12" t="s">
        <v>2</v>
      </c>
      <c r="F5" s="22">
        <f>F3</f>
        <v>23</v>
      </c>
    </row>
    <row r="6" spans="1:6" x14ac:dyDescent="0.3">
      <c r="A6" s="5"/>
      <c r="B6" s="6"/>
      <c r="E6" s="13" t="s">
        <v>3</v>
      </c>
      <c r="F6" s="1">
        <f>SUM(F3:F5)</f>
        <v>69</v>
      </c>
    </row>
    <row r="7" spans="1:6" x14ac:dyDescent="0.3">
      <c r="A7" s="5"/>
      <c r="B7" s="6"/>
      <c r="E7" s="14" t="s">
        <v>4</v>
      </c>
      <c r="F7" s="32">
        <f>1/4*SQRT(F6*(F6-2*F3)*(F6-2*F4)*(F6-2*F5))</f>
        <v>229.06371930098402</v>
      </c>
    </row>
    <row r="8" spans="1:6" x14ac:dyDescent="0.3">
      <c r="A8" s="5"/>
      <c r="B8" s="6"/>
      <c r="E8" s="14" t="s">
        <v>5</v>
      </c>
      <c r="F8" s="31">
        <f>F3*F4*F5/(4*F7)</f>
        <v>13.279056191361393</v>
      </c>
    </row>
    <row r="9" spans="1:6" x14ac:dyDescent="0.3">
      <c r="A9" s="5"/>
      <c r="B9" s="6"/>
      <c r="E9" s="15" t="s">
        <v>6</v>
      </c>
      <c r="F9" s="31">
        <f>2*F7/F6</f>
        <v>6.6395280956806966</v>
      </c>
    </row>
    <row r="10" spans="1:6" x14ac:dyDescent="0.3">
      <c r="A10" s="5"/>
      <c r="B10" s="6"/>
      <c r="D10" s="16"/>
      <c r="E10" s="14" t="s">
        <v>7</v>
      </c>
      <c r="F10" s="31">
        <f>2*F7/F5</f>
        <v>19.918584287042087</v>
      </c>
    </row>
    <row r="11" spans="1:6" x14ac:dyDescent="0.3">
      <c r="A11" s="5"/>
      <c r="B11" s="6"/>
      <c r="E11" s="14" t="s">
        <v>8</v>
      </c>
      <c r="F11" s="31">
        <f>1/2*SQRT(2*(F3^2+F4^2)-F5^2)</f>
        <v>19.918584287042091</v>
      </c>
    </row>
    <row r="12" spans="1:6" ht="15" thickBot="1" x14ac:dyDescent="0.35">
      <c r="A12" s="5"/>
      <c r="B12" s="6"/>
      <c r="E12" s="17" t="s">
        <v>9</v>
      </c>
      <c r="F12" s="33">
        <f>SQRT(F3*F4*F6*(F6-2*F5))/(F3+F4)</f>
        <v>19.918584287042087</v>
      </c>
    </row>
    <row r="13" spans="1:6" x14ac:dyDescent="0.3">
      <c r="A13" s="5"/>
      <c r="B13" s="6"/>
    </row>
    <row r="14" spans="1:6" ht="15.6" x14ac:dyDescent="0.3">
      <c r="A14" s="5"/>
      <c r="B14" s="18"/>
    </row>
    <row r="19" spans="1:3" x14ac:dyDescent="0.3">
      <c r="A19" s="19"/>
      <c r="C19" s="20"/>
    </row>
    <row r="20" spans="1:3" x14ac:dyDescent="0.3">
      <c r="A20" s="20"/>
    </row>
    <row r="21" spans="1:3" x14ac:dyDescent="0.3">
      <c r="A21" s="20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selection activeCell="E18" sqref="E18"/>
    </sheetView>
  </sheetViews>
  <sheetFormatPr defaultColWidth="9.109375" defaultRowHeight="14.4" x14ac:dyDescent="0.3"/>
  <cols>
    <col min="1" max="1" width="25.88671875" customWidth="1"/>
    <col min="2" max="2" width="16.88671875" bestFit="1" customWidth="1"/>
    <col min="3" max="4" width="9.109375" customWidth="1"/>
    <col min="5" max="5" width="27" bestFit="1" customWidth="1"/>
    <col min="6" max="6" width="13.88671875" customWidth="1"/>
  </cols>
  <sheetData>
    <row r="1" spans="1:6" s="3" customFormat="1" ht="25.8" x14ac:dyDescent="0.5">
      <c r="A1" s="2"/>
      <c r="E1" s="4" t="s">
        <v>11</v>
      </c>
    </row>
    <row r="2" spans="1:6" ht="15" thickBot="1" x14ac:dyDescent="0.35">
      <c r="A2" s="5"/>
      <c r="B2" s="6"/>
    </row>
    <row r="3" spans="1:6" x14ac:dyDescent="0.3">
      <c r="A3" s="5"/>
      <c r="B3" s="6"/>
      <c r="C3" s="7"/>
      <c r="E3" s="8" t="s">
        <v>10</v>
      </c>
      <c r="F3" s="9">
        <v>33</v>
      </c>
    </row>
    <row r="4" spans="1:6" x14ac:dyDescent="0.3">
      <c r="A4" s="5"/>
      <c r="B4" s="6"/>
      <c r="E4" s="10" t="s">
        <v>1</v>
      </c>
      <c r="F4" s="11">
        <v>56</v>
      </c>
    </row>
    <row r="5" spans="1:6" ht="15" thickBot="1" x14ac:dyDescent="0.35">
      <c r="A5" s="5"/>
      <c r="B5" s="6"/>
      <c r="E5" s="12" t="s">
        <v>2</v>
      </c>
      <c r="F5" s="34">
        <f>SQRT(F3^2+F4^2)</f>
        <v>65</v>
      </c>
    </row>
    <row r="6" spans="1:6" x14ac:dyDescent="0.3">
      <c r="A6" s="5"/>
      <c r="B6" s="6"/>
      <c r="E6" s="13" t="s">
        <v>3</v>
      </c>
      <c r="F6" s="35">
        <f>SUM(F3:F5)</f>
        <v>154</v>
      </c>
    </row>
    <row r="7" spans="1:6" x14ac:dyDescent="0.3">
      <c r="A7" s="5"/>
      <c r="B7" s="6"/>
      <c r="E7" s="14" t="s">
        <v>4</v>
      </c>
      <c r="F7" s="36">
        <f>1/4*SQRT(F6*(F6-2*F3)*(F6-2*F4)*(F6-2*F5))</f>
        <v>924</v>
      </c>
    </row>
    <row r="8" spans="1:6" x14ac:dyDescent="0.3">
      <c r="A8" s="5"/>
      <c r="B8" s="6"/>
      <c r="E8" s="14" t="s">
        <v>5</v>
      </c>
      <c r="F8" s="32">
        <f>F3*F4*F5/(4*F7)</f>
        <v>32.5</v>
      </c>
    </row>
    <row r="9" spans="1:6" x14ac:dyDescent="0.3">
      <c r="A9" s="5"/>
      <c r="B9" s="6"/>
      <c r="E9" s="15" t="s">
        <v>6</v>
      </c>
      <c r="F9" s="36">
        <f>2*F7/F6</f>
        <v>12</v>
      </c>
    </row>
    <row r="10" spans="1:6" x14ac:dyDescent="0.3">
      <c r="A10" s="5"/>
      <c r="B10" s="6"/>
      <c r="D10" s="16"/>
      <c r="E10" s="14" t="s">
        <v>7</v>
      </c>
      <c r="F10" s="31">
        <f>2*F7/F5</f>
        <v>28.430769230769229</v>
      </c>
    </row>
    <row r="11" spans="1:6" x14ac:dyDescent="0.3">
      <c r="A11" s="5"/>
      <c r="B11" s="6"/>
      <c r="E11" s="14" t="s">
        <v>8</v>
      </c>
      <c r="F11" s="32">
        <f>1/2*SQRT(2*(F3^2+F4^2)-F5^2)</f>
        <v>32.5</v>
      </c>
    </row>
    <row r="12" spans="1:6" ht="15" thickBot="1" x14ac:dyDescent="0.35">
      <c r="A12" s="5"/>
      <c r="B12" s="6"/>
      <c r="E12" s="17" t="s">
        <v>9</v>
      </c>
      <c r="F12" s="33">
        <f>SQRT(F3*F4*F6*(F6-2*F5))/(F3+F4)</f>
        <v>29.364793969275055</v>
      </c>
    </row>
    <row r="13" spans="1:6" x14ac:dyDescent="0.3">
      <c r="A13" s="5"/>
      <c r="B13" s="6"/>
    </row>
    <row r="14" spans="1:6" ht="15.6" x14ac:dyDescent="0.3">
      <c r="A14" s="5"/>
      <c r="B14" s="18"/>
    </row>
    <row r="19" spans="1:3" x14ac:dyDescent="0.3">
      <c r="A19" s="19"/>
      <c r="C19" s="20"/>
    </row>
    <row r="20" spans="1:3" x14ac:dyDescent="0.3">
      <c r="A20" s="20"/>
    </row>
    <row r="21" spans="1:3" x14ac:dyDescent="0.3">
      <c r="A21" s="20"/>
    </row>
    <row r="22" spans="1:3" x14ac:dyDescent="0.3">
      <c r="A22" s="20"/>
    </row>
    <row r="23" spans="1:3" x14ac:dyDescent="0.3">
      <c r="A23" s="21"/>
    </row>
  </sheetData>
  <pageMargins left="0.7" right="0.7" top="0.75" bottom="0.75" header="0.3" footer="0.3"/>
  <pageSetup paperSize="9" orientation="portrait" horizontalDpi="4294967293" verticalDpi="0" r:id="rId1"/>
  <drawing r:id="rId2"/>
  <legacyDrawing r:id="rId3"/>
  <oleObjects>
    <mc:AlternateContent xmlns:mc="http://schemas.openxmlformats.org/markup-compatibility/2006">
      <mc:Choice Requires="x14">
        <oleObject progId="Word.Document.12" shapeId="6147" r:id="rId4">
          <objectPr defaultSize="0" r:id="rId5">
            <anchor moveWithCells="1">
              <from>
                <xdr:col>6</xdr:col>
                <xdr:colOff>152400</xdr:colOff>
                <xdr:row>1</xdr:row>
                <xdr:rowOff>99060</xdr:rowOff>
              </from>
              <to>
                <xdr:col>8</xdr:col>
                <xdr:colOff>167640</xdr:colOff>
                <xdr:row>15</xdr:row>
                <xdr:rowOff>137160</xdr:rowOff>
              </to>
            </anchor>
          </objectPr>
        </oleObject>
      </mc:Choice>
      <mc:Fallback>
        <oleObject progId="Word.Document.12" shapeId="6147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tabSelected="1" workbookViewId="0">
      <selection activeCell="B18" sqref="B18"/>
    </sheetView>
  </sheetViews>
  <sheetFormatPr defaultColWidth="9.109375" defaultRowHeight="14.4" x14ac:dyDescent="0.3"/>
  <cols>
    <col min="1" max="1" width="25.88671875" customWidth="1"/>
    <col min="2" max="2" width="16.88671875" bestFit="1" customWidth="1"/>
    <col min="3" max="4" width="9.109375" customWidth="1"/>
    <col min="5" max="5" width="27" bestFit="1" customWidth="1"/>
    <col min="6" max="6" width="13.88671875" customWidth="1"/>
  </cols>
  <sheetData>
    <row r="1" spans="1:8" s="3" customFormat="1" ht="25.8" x14ac:dyDescent="0.5">
      <c r="A1" s="2"/>
      <c r="E1" s="4" t="s">
        <v>12</v>
      </c>
    </row>
    <row r="2" spans="1:8" ht="15" thickBot="1" x14ac:dyDescent="0.35">
      <c r="A2" s="5"/>
      <c r="B2" s="6"/>
      <c r="E2" s="23"/>
      <c r="F2" s="23"/>
      <c r="G2" s="23"/>
      <c r="H2" s="23"/>
    </row>
    <row r="3" spans="1:8" x14ac:dyDescent="0.3">
      <c r="A3" s="5"/>
      <c r="B3" s="6"/>
      <c r="C3" s="7"/>
      <c r="E3" s="24" t="s">
        <v>10</v>
      </c>
      <c r="F3" s="9">
        <v>10</v>
      </c>
      <c r="G3" s="23"/>
      <c r="H3" s="23"/>
    </row>
    <row r="4" spans="1:8" x14ac:dyDescent="0.3">
      <c r="A4" s="5"/>
      <c r="B4" s="6"/>
      <c r="E4" s="25" t="s">
        <v>1</v>
      </c>
      <c r="F4" s="11">
        <v>14</v>
      </c>
      <c r="G4" s="23"/>
      <c r="H4" s="23"/>
    </row>
    <row r="5" spans="1:8" ht="15" thickBot="1" x14ac:dyDescent="0.35">
      <c r="A5" s="5"/>
      <c r="B5" s="6"/>
      <c r="E5" s="26" t="s">
        <v>2</v>
      </c>
      <c r="F5" s="11">
        <v>19</v>
      </c>
      <c r="G5" s="23"/>
      <c r="H5" s="23"/>
    </row>
    <row r="6" spans="1:8" x14ac:dyDescent="0.3">
      <c r="A6" s="5"/>
      <c r="B6" s="6"/>
      <c r="E6" s="27" t="s">
        <v>3</v>
      </c>
      <c r="F6" s="1">
        <f>SUM(F3:F5)</f>
        <v>43</v>
      </c>
      <c r="G6" s="23"/>
      <c r="H6" s="23"/>
    </row>
    <row r="7" spans="1:8" x14ac:dyDescent="0.3">
      <c r="A7" s="5"/>
      <c r="B7" s="6"/>
      <c r="E7" s="28" t="s">
        <v>4</v>
      </c>
      <c r="F7" s="31">
        <f>1/4*SQRT(F6*(F6-2*F3)*(F6-2*F4)*(F6-2*F5))</f>
        <v>68.087719156981606</v>
      </c>
      <c r="G7" s="23"/>
      <c r="H7" s="23"/>
    </row>
    <row r="8" spans="1:8" x14ac:dyDescent="0.3">
      <c r="A8" s="5"/>
      <c r="B8" s="6"/>
      <c r="E8" s="28" t="s">
        <v>5</v>
      </c>
      <c r="F8" s="31">
        <f>F3*F4*F5/(4*F7)</f>
        <v>9.7668126974086178</v>
      </c>
      <c r="G8" s="23"/>
      <c r="H8" s="23"/>
    </row>
    <row r="9" spans="1:8" x14ac:dyDescent="0.3">
      <c r="A9" s="5"/>
      <c r="B9" s="6"/>
      <c r="E9" s="29" t="s">
        <v>6</v>
      </c>
      <c r="F9" s="31">
        <f>2*F7/F6</f>
        <v>3.1668706584642607</v>
      </c>
      <c r="G9" s="23"/>
      <c r="H9" s="23"/>
    </row>
    <row r="10" spans="1:8" x14ac:dyDescent="0.3">
      <c r="A10" s="5"/>
      <c r="B10" s="6"/>
      <c r="D10" s="16"/>
      <c r="E10" s="28" t="s">
        <v>7</v>
      </c>
      <c r="F10" s="31">
        <f>2*F7/F5</f>
        <v>7.1671283323138537</v>
      </c>
      <c r="G10" s="23"/>
      <c r="H10" s="23"/>
    </row>
    <row r="11" spans="1:8" x14ac:dyDescent="0.3">
      <c r="A11" s="5"/>
      <c r="B11" s="6"/>
      <c r="E11" s="28" t="s">
        <v>8</v>
      </c>
      <c r="F11" s="31">
        <f>1/2*SQRT(2*(F3^2+F4^2)-F5^2)</f>
        <v>7.5993420767853319</v>
      </c>
      <c r="G11" s="23"/>
      <c r="H11" s="23"/>
    </row>
    <row r="12" spans="1:8" ht="15" thickBot="1" x14ac:dyDescent="0.35">
      <c r="A12" s="5"/>
      <c r="B12" s="6"/>
      <c r="E12" s="30" t="s">
        <v>9</v>
      </c>
      <c r="F12" s="33">
        <f>SQRT(F3*F4*F6*(F6-2*F5))/(F3+F4)</f>
        <v>7.2288964887072806</v>
      </c>
      <c r="G12" s="23"/>
      <c r="H12" s="23"/>
    </row>
    <row r="13" spans="1:8" x14ac:dyDescent="0.3">
      <c r="A13" s="5"/>
      <c r="B13" s="6"/>
      <c r="E13" s="23"/>
      <c r="F13" s="23"/>
      <c r="G13" s="23"/>
      <c r="H13" s="23"/>
    </row>
    <row r="14" spans="1:8" ht="15.6" x14ac:dyDescent="0.3">
      <c r="A14" s="5"/>
      <c r="B14" s="18"/>
    </row>
    <row r="19" spans="1:3" x14ac:dyDescent="0.3">
      <c r="A19" s="19"/>
      <c r="C19" s="20"/>
    </row>
    <row r="20" spans="1:3" x14ac:dyDescent="0.3">
      <c r="A20" s="20"/>
    </row>
    <row r="21" spans="1:3" x14ac:dyDescent="0.3">
      <c r="A21" s="20"/>
    </row>
    <row r="22" spans="1:3" x14ac:dyDescent="0.3">
      <c r="A22" s="20"/>
    </row>
    <row r="23" spans="1:3" x14ac:dyDescent="0.3">
      <c r="A23" s="21"/>
    </row>
  </sheetData>
  <pageMargins left="0.7" right="0.7" top="0.75" bottom="0.75" header="0.3" footer="0.3"/>
  <pageSetup paperSize="9" orientation="portrait" horizontalDpi="4294967293" verticalDpi="0" r:id="rId1"/>
  <drawing r:id="rId2"/>
  <legacyDrawing r:id="rId3"/>
  <oleObjects>
    <mc:AlternateContent xmlns:mc="http://schemas.openxmlformats.org/markup-compatibility/2006">
      <mc:Choice Requires="x14">
        <oleObject progId="Word.Document.12" shapeId="7171" r:id="rId4">
          <objectPr defaultSize="0" r:id="rId5">
            <anchor moveWithCells="1">
              <from>
                <xdr:col>6</xdr:col>
                <xdr:colOff>198120</xdr:colOff>
                <xdr:row>2</xdr:row>
                <xdr:rowOff>38100</xdr:rowOff>
              </from>
              <to>
                <xdr:col>10</xdr:col>
                <xdr:colOff>68580</xdr:colOff>
                <xdr:row>14</xdr:row>
                <xdr:rowOff>137160</xdr:rowOff>
              </to>
            </anchor>
          </objectPr>
        </oleObject>
      </mc:Choice>
      <mc:Fallback>
        <oleObject progId="Word.Document.12" shapeId="7171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H12" sqref="H12"/>
    </sheetView>
  </sheetViews>
  <sheetFormatPr defaultRowHeight="14.4" x14ac:dyDescent="0.3"/>
  <sheetData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1-Рівносторонній</vt:lpstr>
      <vt:lpstr>2-Прямокутний</vt:lpstr>
      <vt:lpstr>3-Тупокутний</vt:lpstr>
      <vt:lpstr>Малюнок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2019-04-30T08:26:07Z</dcterms:created>
  <dcterms:modified xsi:type="dcterms:W3CDTF">2026-08-10T06:59:53Z</dcterms:modified>
</cp:coreProperties>
</file>