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7130A515-D322-4761-B2B7-04044450EA4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Аркуш1" sheetId="1" r:id="rId1"/>
    <sheet name="Аркуш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" i="2" l="1"/>
  <c r="F17" i="2"/>
  <c r="O15" i="2"/>
  <c r="F15" i="2"/>
  <c r="O12" i="2"/>
  <c r="O13" i="2" s="1"/>
  <c r="F12" i="2"/>
  <c r="F13" i="2" s="1"/>
  <c r="O10" i="2"/>
  <c r="F10" i="2"/>
  <c r="O7" i="2"/>
  <c r="F7" i="2"/>
  <c r="F8" i="2" s="1"/>
  <c r="O17" i="1"/>
  <c r="O15" i="1"/>
  <c r="O12" i="1"/>
  <c r="O13" i="1" s="1"/>
  <c r="O10" i="1"/>
  <c r="O7" i="1"/>
  <c r="F12" i="1"/>
  <c r="F13" i="1" s="1"/>
  <c r="F10" i="1"/>
  <c r="F17" i="1"/>
  <c r="F15" i="1"/>
  <c r="F7" i="1"/>
  <c r="F8" i="1" s="1"/>
  <c r="F18" i="2" l="1"/>
  <c r="F19" i="2" s="1"/>
  <c r="O18" i="2"/>
  <c r="O8" i="2"/>
  <c r="O8" i="1"/>
  <c r="O18" i="1" s="1"/>
  <c r="F18" i="1"/>
  <c r="F21" i="1" s="1"/>
  <c r="F21" i="2" l="1"/>
  <c r="O19" i="2"/>
  <c r="O21" i="2"/>
  <c r="O19" i="1"/>
  <c r="O21" i="1"/>
  <c r="F19" i="1"/>
</calcChain>
</file>

<file path=xl/sharedStrings.xml><?xml version="1.0" encoding="utf-8"?>
<sst xmlns="http://schemas.openxmlformats.org/spreadsheetml/2006/main" count="116" uniqueCount="21">
  <si>
    <t>х</t>
  </si>
  <si>
    <t>Знижка</t>
  </si>
  <si>
    <t>Пакет фірмовий малий</t>
  </si>
  <si>
    <t>Готівка</t>
  </si>
  <si>
    <t>Решта</t>
  </si>
  <si>
    <t>ФІСКАЛЬНИЙ ЧЕК</t>
  </si>
  <si>
    <t>Іванова Валентина</t>
  </si>
  <si>
    <t>СУМА</t>
  </si>
  <si>
    <t>=</t>
  </si>
  <si>
    <t>сума / 6</t>
  </si>
  <si>
    <t>сума-готівка</t>
  </si>
  <si>
    <t>x</t>
  </si>
  <si>
    <t>Кефір 0,87 кг Молокія густий</t>
  </si>
  <si>
    <t>Лимон</t>
  </si>
  <si>
    <t>Магазин «УСЕ СВІЖЕ»</t>
  </si>
  <si>
    <t>Чек № 235</t>
  </si>
  <si>
    <t>Каса 2</t>
  </si>
  <si>
    <t>Податок (20%)</t>
  </si>
  <si>
    <t>Сирок 36г глазурований Злагода</t>
  </si>
  <si>
    <t>Куряче філе копчене</t>
  </si>
  <si>
    <t>Шептицький, Бандери,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</si>
</sst>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&quot;₴&quot;_-;\-* #,##0.00&quot;₴&quot;_-;_-* &quot;-&quot;??&quot;₴&quot;_-;_-@_-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2" fontId="0" fillId="0" borderId="0" xfId="0" applyNumberFormat="1" applyAlignment="1">
      <alignment vertical="center"/>
    </xf>
    <xf numFmtId="2" fontId="0" fillId="0" borderId="9" xfId="0" applyNumberForma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2" fontId="3" fillId="0" borderId="11" xfId="0" applyNumberFormat="1" applyFont="1" applyBorder="1" applyAlignment="1">
      <alignment vertical="center"/>
    </xf>
    <xf numFmtId="9" fontId="4" fillId="0" borderId="0" xfId="0" applyNumberFormat="1" applyFont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2" fontId="0" fillId="0" borderId="13" xfId="0" applyNumberFormat="1" applyBorder="1" applyAlignment="1">
      <alignment vertical="center"/>
    </xf>
    <xf numFmtId="0" fontId="0" fillId="0" borderId="10" xfId="0" applyBorder="1" applyAlignment="1">
      <alignment vertical="center"/>
    </xf>
    <xf numFmtId="2" fontId="0" fillId="0" borderId="3" xfId="0" applyNumberFormat="1" applyBorder="1" applyAlignment="1">
      <alignment vertical="center"/>
    </xf>
    <xf numFmtId="2" fontId="0" fillId="0" borderId="11" xfId="0" applyNumberFormat="1" applyBorder="1" applyAlignment="1">
      <alignment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right" vertical="center" wrapText="1"/>
    </xf>
    <xf numFmtId="0" fontId="0" fillId="0" borderId="14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vertical="center"/>
    </xf>
    <xf numFmtId="2" fontId="0" fillId="0" borderId="15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14" fontId="0" fillId="0" borderId="5" xfId="0" applyNumberFormat="1" applyBorder="1" applyAlignment="1">
      <alignment horizontal="center" vertical="center"/>
    </xf>
    <xf numFmtId="14" fontId="0" fillId="0" borderId="5" xfId="0" applyNumberForma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2" fontId="5" fillId="0" borderId="0" xfId="1" applyNumberFormat="1" applyFont="1" applyFill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21" fontId="0" fillId="0" borderId="0" xfId="0" applyNumberFormat="1" applyAlignment="1">
      <alignment horizontal="right" vertical="center"/>
    </xf>
    <xf numFmtId="14" fontId="0" fillId="0" borderId="5" xfId="0" applyNumberForma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  <xf numFmtId="2" fontId="3" fillId="0" borderId="0" xfId="0" applyNumberFormat="1" applyFont="1" applyAlignment="1">
      <alignment vertical="center"/>
    </xf>
    <xf numFmtId="2" fontId="5" fillId="0" borderId="0" xfId="1" applyNumberFormat="1" applyFont="1" applyFill="1" applyBorder="1" applyAlignment="1">
      <alignment horizontal="right" vertical="center"/>
    </xf>
    <xf numFmtId="2" fontId="0" fillId="0" borderId="0" xfId="0" applyNumberFormat="1" applyAlignment="1">
      <alignment horizontal="right" vertical="center"/>
    </xf>
  </cellXfs>
  <cellStyles count="2">
    <cellStyle name="Грошовий" xfId="1" builtinId="4"/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23"/>
  <sheetViews>
    <sheetView showGridLines="0" workbookViewId="0">
      <selection activeCell="D8" sqref="D8"/>
    </sheetView>
  </sheetViews>
  <sheetFormatPr defaultColWidth="9.109375" defaultRowHeight="14.4" x14ac:dyDescent="0.3"/>
  <cols>
    <col min="1" max="1" width="3.5546875" customWidth="1"/>
    <col min="2" max="2" width="11.44140625" customWidth="1"/>
    <col min="3" max="3" width="5" style="5" customWidth="1"/>
    <col min="4" max="4" width="11.44140625" customWidth="1"/>
    <col min="5" max="5" width="5" customWidth="1"/>
    <col min="6" max="6" width="11.44140625" customWidth="1"/>
    <col min="7" max="7" width="2.88671875" customWidth="1"/>
    <col min="8" max="8" width="12.33203125" style="3" bestFit="1" customWidth="1"/>
    <col min="9" max="9" width="10.109375" customWidth="1"/>
    <col min="10" max="10" width="3" customWidth="1"/>
    <col min="11" max="11" width="11.44140625" customWidth="1"/>
    <col min="12" max="12" width="5" style="5" customWidth="1"/>
    <col min="13" max="13" width="11.44140625" customWidth="1"/>
    <col min="14" max="14" width="5" customWidth="1"/>
    <col min="15" max="15" width="11.44140625" customWidth="1"/>
    <col min="16" max="16" width="2.88671875" customWidth="1"/>
    <col min="17" max="17" width="12.33203125" style="3" bestFit="1" customWidth="1"/>
  </cols>
  <sheetData>
    <row r="2" spans="2:17" s="1" customFormat="1" ht="22.5" customHeight="1" x14ac:dyDescent="0.3">
      <c r="C2" s="1" t="s">
        <v>14</v>
      </c>
      <c r="H2" s="3"/>
      <c r="L2" s="1" t="s">
        <v>14</v>
      </c>
      <c r="Q2" s="3"/>
    </row>
    <row r="3" spans="2:17" s="1" customFormat="1" ht="22.5" customHeight="1" x14ac:dyDescent="0.3">
      <c r="C3" s="1" t="s">
        <v>20</v>
      </c>
      <c r="H3" s="3"/>
      <c r="L3" s="1" t="s">
        <v>20</v>
      </c>
      <c r="Q3" s="3"/>
    </row>
    <row r="4" spans="2:17" s="1" customFormat="1" ht="22.5" customHeight="1" x14ac:dyDescent="0.3">
      <c r="B4" s="6" t="s">
        <v>6</v>
      </c>
      <c r="C4" s="6"/>
      <c r="D4" s="6"/>
      <c r="F4" s="6" t="s">
        <v>16</v>
      </c>
      <c r="H4" s="3"/>
      <c r="K4" s="6" t="s">
        <v>6</v>
      </c>
      <c r="L4" s="6"/>
      <c r="M4" s="6"/>
      <c r="O4" s="6" t="s">
        <v>16</v>
      </c>
      <c r="Q4" s="3"/>
    </row>
    <row r="5" spans="2:17" s="1" customFormat="1" ht="22.5" customHeight="1" x14ac:dyDescent="0.3">
      <c r="B5" s="7"/>
      <c r="C5" s="8"/>
      <c r="D5" s="7" t="s">
        <v>15</v>
      </c>
      <c r="E5" s="7"/>
      <c r="F5" s="7"/>
      <c r="H5" s="3"/>
      <c r="K5" s="9"/>
      <c r="L5" s="10"/>
      <c r="M5" s="9" t="s">
        <v>15</v>
      </c>
      <c r="N5" s="9"/>
      <c r="O5" s="9"/>
      <c r="Q5" s="3"/>
    </row>
    <row r="6" spans="2:17" s="1" customFormat="1" ht="15" customHeight="1" x14ac:dyDescent="0.3">
      <c r="B6" s="11" t="s">
        <v>19</v>
      </c>
      <c r="C6" s="8"/>
      <c r="D6" s="7"/>
      <c r="E6" s="8"/>
      <c r="F6" s="12"/>
      <c r="H6" s="3"/>
      <c r="K6" s="11" t="s">
        <v>19</v>
      </c>
      <c r="L6" s="8"/>
      <c r="M6" s="7"/>
      <c r="N6" s="8"/>
      <c r="O6" s="12"/>
      <c r="Q6" s="3"/>
    </row>
    <row r="7" spans="2:17" s="1" customFormat="1" ht="15" customHeight="1" x14ac:dyDescent="0.3">
      <c r="B7" s="13">
        <v>1.796</v>
      </c>
      <c r="C7" s="2" t="s">
        <v>0</v>
      </c>
      <c r="D7" s="14">
        <v>279.89999999999998</v>
      </c>
      <c r="E7" s="2" t="s">
        <v>8</v>
      </c>
      <c r="F7" s="15">
        <f>B7*D7</f>
        <v>502.70039999999995</v>
      </c>
      <c r="H7" s="16"/>
      <c r="K7" s="13">
        <v>1.796</v>
      </c>
      <c r="L7" s="2" t="s">
        <v>0</v>
      </c>
      <c r="M7" s="14">
        <v>279.89999999999998</v>
      </c>
      <c r="N7" s="2" t="s">
        <v>8</v>
      </c>
      <c r="O7" s="15">
        <f>K7*M7</f>
        <v>502.70039999999995</v>
      </c>
      <c r="Q7" s="16"/>
    </row>
    <row r="8" spans="2:17" s="1" customFormat="1" ht="15" customHeight="1" x14ac:dyDescent="0.3">
      <c r="B8" s="17" t="s">
        <v>1</v>
      </c>
      <c r="C8" s="18"/>
      <c r="D8" s="19"/>
      <c r="E8" s="18"/>
      <c r="F8" s="20">
        <f>-F7*5%</f>
        <v>-25.135019999999997</v>
      </c>
      <c r="H8" s="21"/>
      <c r="K8" s="17" t="s">
        <v>1</v>
      </c>
      <c r="L8" s="18"/>
      <c r="M8" s="19"/>
      <c r="N8" s="18"/>
      <c r="O8" s="20">
        <f>-O7*5%</f>
        <v>-25.135019999999997</v>
      </c>
      <c r="Q8" s="21"/>
    </row>
    <row r="9" spans="2:17" s="1" customFormat="1" ht="15" customHeight="1" x14ac:dyDescent="0.3">
      <c r="B9" s="22" t="s">
        <v>2</v>
      </c>
      <c r="C9" s="23"/>
      <c r="D9" s="24"/>
      <c r="E9" s="23"/>
      <c r="F9" s="25"/>
      <c r="H9" s="3"/>
      <c r="K9" s="22" t="s">
        <v>2</v>
      </c>
      <c r="L9" s="23"/>
      <c r="M9" s="24"/>
      <c r="N9" s="23"/>
      <c r="O9" s="25"/>
      <c r="Q9" s="3"/>
    </row>
    <row r="10" spans="2:17" s="1" customFormat="1" ht="15" customHeight="1" x14ac:dyDescent="0.3">
      <c r="B10" s="26">
        <v>1</v>
      </c>
      <c r="C10" s="18" t="s">
        <v>11</v>
      </c>
      <c r="D10" s="27">
        <v>4</v>
      </c>
      <c r="E10" s="18" t="s">
        <v>8</v>
      </c>
      <c r="F10" s="28">
        <f>B10*D10</f>
        <v>4</v>
      </c>
      <c r="H10" s="3"/>
      <c r="K10" s="26">
        <v>1</v>
      </c>
      <c r="L10" s="18" t="s">
        <v>11</v>
      </c>
      <c r="M10" s="27">
        <v>4</v>
      </c>
      <c r="N10" s="18" t="s">
        <v>8</v>
      </c>
      <c r="O10" s="28">
        <f>K10*M10</f>
        <v>4</v>
      </c>
      <c r="Q10" s="3"/>
    </row>
    <row r="11" spans="2:17" s="1" customFormat="1" ht="15" customHeight="1" x14ac:dyDescent="0.3">
      <c r="B11" s="13" t="s">
        <v>12</v>
      </c>
      <c r="E11" s="2"/>
      <c r="F11" s="15"/>
      <c r="H11" s="16"/>
      <c r="K11" s="13" t="s">
        <v>12</v>
      </c>
      <c r="N11" s="2"/>
      <c r="O11" s="15"/>
      <c r="Q11" s="16"/>
    </row>
    <row r="12" spans="2:17" s="1" customFormat="1" ht="15" customHeight="1" x14ac:dyDescent="0.3">
      <c r="B12" s="13">
        <v>3</v>
      </c>
      <c r="C12" s="29" t="s">
        <v>0</v>
      </c>
      <c r="D12" s="30">
        <v>45.9</v>
      </c>
      <c r="E12" s="29" t="s">
        <v>8</v>
      </c>
      <c r="F12" s="15">
        <f>B12*D12</f>
        <v>137.69999999999999</v>
      </c>
      <c r="H12" s="16"/>
      <c r="K12" s="13">
        <v>3</v>
      </c>
      <c r="L12" s="29" t="s">
        <v>0</v>
      </c>
      <c r="M12" s="30">
        <v>45.9</v>
      </c>
      <c r="N12" s="29" t="s">
        <v>8</v>
      </c>
      <c r="O12" s="15">
        <f>K12*M12</f>
        <v>137.69999999999999</v>
      </c>
      <c r="Q12" s="16"/>
    </row>
    <row r="13" spans="2:17" s="1" customFormat="1" ht="15" customHeight="1" x14ac:dyDescent="0.3">
      <c r="B13" s="17" t="s">
        <v>1</v>
      </c>
      <c r="C13" s="18"/>
      <c r="D13" s="19"/>
      <c r="E13" s="18"/>
      <c r="F13" s="20">
        <f>-F12*5%</f>
        <v>-6.8849999999999998</v>
      </c>
      <c r="H13" s="21"/>
      <c r="K13" s="17" t="s">
        <v>1</v>
      </c>
      <c r="L13" s="18"/>
      <c r="M13" s="19"/>
      <c r="N13" s="18"/>
      <c r="O13" s="20">
        <f>-O12*5%</f>
        <v>-6.8849999999999998</v>
      </c>
      <c r="Q13" s="21"/>
    </row>
    <row r="14" spans="2:17" s="1" customFormat="1" ht="15" customHeight="1" x14ac:dyDescent="0.3">
      <c r="B14" s="13" t="s">
        <v>13</v>
      </c>
      <c r="C14" s="2"/>
      <c r="E14" s="2"/>
      <c r="F14" s="15"/>
      <c r="H14" s="3"/>
      <c r="K14" s="13" t="s">
        <v>13</v>
      </c>
      <c r="L14" s="2"/>
      <c r="N14" s="2"/>
      <c r="O14" s="15"/>
      <c r="Q14" s="3"/>
    </row>
    <row r="15" spans="2:17" s="1" customFormat="1" ht="15" customHeight="1" x14ac:dyDescent="0.3">
      <c r="B15" s="26">
        <v>0.85399999999999998</v>
      </c>
      <c r="C15" s="18" t="s">
        <v>0</v>
      </c>
      <c r="D15" s="19">
        <v>52.95</v>
      </c>
      <c r="E15" s="18" t="s">
        <v>8</v>
      </c>
      <c r="F15" s="28">
        <f>B15*D15</f>
        <v>45.219300000000004</v>
      </c>
      <c r="H15" s="16"/>
      <c r="K15" s="26">
        <v>0.85399999999999998</v>
      </c>
      <c r="L15" s="18" t="s">
        <v>0</v>
      </c>
      <c r="M15" s="19">
        <v>52.95</v>
      </c>
      <c r="N15" s="18" t="s">
        <v>8</v>
      </c>
      <c r="O15" s="28">
        <f>K15*M15</f>
        <v>45.219300000000004</v>
      </c>
      <c r="Q15" s="16"/>
    </row>
    <row r="16" spans="2:17" s="1" customFormat="1" ht="15" customHeight="1" x14ac:dyDescent="0.3">
      <c r="B16" s="22" t="s">
        <v>18</v>
      </c>
      <c r="C16" s="24"/>
      <c r="D16" s="24"/>
      <c r="E16" s="23"/>
      <c r="F16" s="15"/>
      <c r="H16" s="3"/>
      <c r="K16" s="22" t="s">
        <v>18</v>
      </c>
      <c r="L16" s="24"/>
      <c r="M16" s="24"/>
      <c r="N16" s="23"/>
      <c r="O16" s="15"/>
      <c r="Q16" s="3"/>
    </row>
    <row r="17" spans="2:17" s="1" customFormat="1" ht="15" customHeight="1" x14ac:dyDescent="0.3">
      <c r="B17" s="31">
        <v>6</v>
      </c>
      <c r="C17" s="32" t="s">
        <v>0</v>
      </c>
      <c r="D17" s="33">
        <v>11.3</v>
      </c>
      <c r="E17" s="32" t="s">
        <v>8</v>
      </c>
      <c r="F17" s="34">
        <f>B17*D17</f>
        <v>67.800000000000011</v>
      </c>
      <c r="H17" s="16"/>
      <c r="K17" s="31">
        <v>6</v>
      </c>
      <c r="L17" s="32" t="s">
        <v>0</v>
      </c>
      <c r="M17" s="33">
        <v>11.3</v>
      </c>
      <c r="N17" s="32" t="s">
        <v>8</v>
      </c>
      <c r="O17" s="34">
        <f>K17*M17</f>
        <v>67.800000000000011</v>
      </c>
      <c r="Q17" s="16"/>
    </row>
    <row r="18" spans="2:17" s="39" customFormat="1" ht="22.5" customHeight="1" x14ac:dyDescent="0.3">
      <c r="B18" s="47" t="s">
        <v>7</v>
      </c>
      <c r="C18" s="38"/>
      <c r="F18" s="42">
        <f>SUM(F7:F17)</f>
        <v>725.39967999999999</v>
      </c>
      <c r="H18" s="40"/>
      <c r="K18" s="47" t="s">
        <v>7</v>
      </c>
      <c r="L18" s="38"/>
      <c r="O18" s="42">
        <f>SUM(O7:O17)</f>
        <v>725.39967999999999</v>
      </c>
      <c r="Q18" s="40"/>
    </row>
    <row r="19" spans="2:17" s="1" customFormat="1" ht="22.5" customHeight="1" x14ac:dyDescent="0.3">
      <c r="B19" s="35"/>
      <c r="C19" s="35" t="s">
        <v>17</v>
      </c>
      <c r="D19" s="6"/>
      <c r="E19" s="6"/>
      <c r="F19" s="43">
        <f>F18/6</f>
        <v>120.89994666666666</v>
      </c>
      <c r="H19" s="16" t="s">
        <v>9</v>
      </c>
      <c r="K19" s="35"/>
      <c r="L19" s="35" t="s">
        <v>17</v>
      </c>
      <c r="M19" s="6"/>
      <c r="N19" s="6"/>
      <c r="O19" s="43">
        <f>O18/6</f>
        <v>120.89994666666666</v>
      </c>
      <c r="Q19" s="16" t="s">
        <v>9</v>
      </c>
    </row>
    <row r="20" spans="2:17" s="4" customFormat="1" ht="22.5" customHeight="1" x14ac:dyDescent="0.3">
      <c r="B20" s="41" t="s">
        <v>3</v>
      </c>
      <c r="F20" s="44">
        <v>800</v>
      </c>
      <c r="K20" s="41" t="s">
        <v>3</v>
      </c>
      <c r="O20" s="44">
        <v>800</v>
      </c>
    </row>
    <row r="21" spans="2:17" s="2" customFormat="1" ht="22.5" customHeight="1" x14ac:dyDescent="0.3">
      <c r="B21" s="35" t="s">
        <v>4</v>
      </c>
      <c r="C21" s="32"/>
      <c r="D21" s="32"/>
      <c r="E21" s="32"/>
      <c r="F21" s="43">
        <f>-(F20-F18)</f>
        <v>-74.600320000000011</v>
      </c>
      <c r="H21" s="16" t="s">
        <v>10</v>
      </c>
      <c r="K21" s="35" t="s">
        <v>4</v>
      </c>
      <c r="L21" s="32"/>
      <c r="M21" s="32"/>
      <c r="N21" s="32"/>
      <c r="O21" s="43">
        <f>-(O20-O18)</f>
        <v>-74.600320000000011</v>
      </c>
      <c r="Q21" s="16" t="s">
        <v>10</v>
      </c>
    </row>
    <row r="22" spans="2:17" s="1" customFormat="1" ht="22.5" customHeight="1" x14ac:dyDescent="0.3">
      <c r="B22" s="46">
        <v>45538</v>
      </c>
      <c r="C22" s="2"/>
      <c r="D22" s="2"/>
      <c r="E22" s="36"/>
      <c r="F22" s="45">
        <v>0.70671296296296304</v>
      </c>
      <c r="H22" s="3"/>
      <c r="K22" s="46">
        <v>45538</v>
      </c>
      <c r="N22" s="37"/>
      <c r="O22" s="45">
        <v>0.70671296296296304</v>
      </c>
      <c r="Q22" s="3"/>
    </row>
    <row r="23" spans="2:17" s="1" customFormat="1" ht="22.5" customHeight="1" x14ac:dyDescent="0.3">
      <c r="D23" s="1" t="s">
        <v>5</v>
      </c>
      <c r="H23" s="3"/>
      <c r="M23" s="1" t="s">
        <v>5</v>
      </c>
      <c r="Q23" s="3"/>
    </row>
  </sheetData>
  <pageMargins left="0.51181102362204722" right="0.6692913385826772" top="0.51181102362204722" bottom="0.51181102362204722" header="0.51181102362204722" footer="0.51181102362204722"/>
  <pageSetup paperSize="9" orientation="landscape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23"/>
  <sheetViews>
    <sheetView tabSelected="1" workbookViewId="0">
      <selection activeCell="F3" sqref="F3"/>
    </sheetView>
  </sheetViews>
  <sheetFormatPr defaultColWidth="9.109375" defaultRowHeight="14.4" x14ac:dyDescent="0.3"/>
  <cols>
    <col min="1" max="1" width="3.5546875" customWidth="1"/>
    <col min="2" max="2" width="11.44140625" customWidth="1"/>
    <col min="3" max="3" width="5" style="5" customWidth="1"/>
    <col min="4" max="4" width="11.44140625" customWidth="1"/>
    <col min="5" max="5" width="5" customWidth="1"/>
    <col min="6" max="6" width="11.44140625" customWidth="1"/>
    <col min="7" max="7" width="2.88671875" customWidth="1"/>
    <col min="8" max="8" width="12.33203125" style="3" bestFit="1" customWidth="1"/>
    <col min="9" max="9" width="10.109375" customWidth="1"/>
    <col min="10" max="10" width="3" customWidth="1"/>
    <col min="11" max="11" width="11.44140625" customWidth="1"/>
    <col min="12" max="12" width="5" style="5" customWidth="1"/>
    <col min="13" max="13" width="11.44140625" customWidth="1"/>
    <col min="14" max="14" width="5" customWidth="1"/>
    <col min="15" max="15" width="11.44140625" customWidth="1"/>
    <col min="16" max="16" width="2.88671875" customWidth="1"/>
    <col min="17" max="17" width="12.33203125" style="3" bestFit="1" customWidth="1"/>
  </cols>
  <sheetData>
    <row r="2" spans="2:17" s="1" customFormat="1" ht="22.5" customHeight="1" x14ac:dyDescent="0.3">
      <c r="C2" s="1" t="s">
        <v>14</v>
      </c>
      <c r="H2" s="3"/>
      <c r="L2" s="1" t="s">
        <v>14</v>
      </c>
      <c r="Q2" s="3"/>
    </row>
    <row r="3" spans="2:17" s="1" customFormat="1" ht="22.5" customHeight="1" x14ac:dyDescent="0.3">
      <c r="C3" s="1" t="s">
        <v>20</v>
      </c>
      <c r="H3" s="3"/>
      <c r="L3" s="1" t="s">
        <v>20</v>
      </c>
      <c r="Q3" s="3"/>
    </row>
    <row r="4" spans="2:17" s="1" customFormat="1" ht="22.5" customHeight="1" x14ac:dyDescent="0.3">
      <c r="B4" s="1" t="s">
        <v>6</v>
      </c>
      <c r="F4" s="1" t="s">
        <v>16</v>
      </c>
      <c r="H4" s="3"/>
      <c r="K4" s="1" t="s">
        <v>6</v>
      </c>
      <c r="O4" s="1" t="s">
        <v>16</v>
      </c>
      <c r="Q4" s="3"/>
    </row>
    <row r="5" spans="2:17" s="1" customFormat="1" ht="22.5" customHeight="1" x14ac:dyDescent="0.3">
      <c r="C5" s="2"/>
      <c r="D5" s="1" t="s">
        <v>15</v>
      </c>
      <c r="H5" s="3"/>
      <c r="L5" s="2"/>
      <c r="M5" s="1" t="s">
        <v>15</v>
      </c>
      <c r="Q5" s="3"/>
    </row>
    <row r="6" spans="2:17" s="1" customFormat="1" ht="15" customHeight="1" x14ac:dyDescent="0.3">
      <c r="B6" s="1" t="s">
        <v>19</v>
      </c>
      <c r="C6" s="2"/>
      <c r="E6" s="2"/>
      <c r="H6" s="3"/>
      <c r="K6" s="1" t="s">
        <v>19</v>
      </c>
      <c r="L6" s="2"/>
      <c r="N6" s="2"/>
      <c r="Q6" s="3"/>
    </row>
    <row r="7" spans="2:17" s="1" customFormat="1" ht="15" customHeight="1" x14ac:dyDescent="0.3">
      <c r="B7" s="1">
        <v>1.796</v>
      </c>
      <c r="C7" s="2" t="s">
        <v>0</v>
      </c>
      <c r="D7" s="14">
        <v>279.89999999999998</v>
      </c>
      <c r="E7" s="2" t="s">
        <v>8</v>
      </c>
      <c r="F7" s="14">
        <f>B7*D7</f>
        <v>502.70039999999995</v>
      </c>
      <c r="H7" s="16"/>
      <c r="K7" s="1">
        <v>1.796</v>
      </c>
      <c r="L7" s="2" t="s">
        <v>0</v>
      </c>
      <c r="M7" s="14">
        <v>279.89999999999998</v>
      </c>
      <c r="N7" s="2" t="s">
        <v>8</v>
      </c>
      <c r="O7" s="14">
        <f>K7*M7</f>
        <v>502.70039999999995</v>
      </c>
      <c r="Q7" s="16"/>
    </row>
    <row r="8" spans="2:17" s="1" customFormat="1" ht="15" customHeight="1" x14ac:dyDescent="0.3">
      <c r="B8" s="51" t="s">
        <v>1</v>
      </c>
      <c r="C8" s="2"/>
      <c r="E8" s="2"/>
      <c r="F8" s="52">
        <f>-F7*5%</f>
        <v>-25.135019999999997</v>
      </c>
      <c r="H8" s="21"/>
      <c r="K8" s="51" t="s">
        <v>1</v>
      </c>
      <c r="L8" s="2"/>
      <c r="N8" s="2"/>
      <c r="O8" s="52">
        <f>-O7*5%</f>
        <v>-25.135019999999997</v>
      </c>
      <c r="Q8" s="21"/>
    </row>
    <row r="9" spans="2:17" s="1" customFormat="1" ht="15" customHeight="1" x14ac:dyDescent="0.3">
      <c r="B9" s="1" t="s">
        <v>2</v>
      </c>
      <c r="C9" s="2"/>
      <c r="E9" s="2"/>
      <c r="F9" s="14"/>
      <c r="H9" s="3"/>
      <c r="K9" s="1" t="s">
        <v>2</v>
      </c>
      <c r="L9" s="2"/>
      <c r="N9" s="2"/>
      <c r="O9" s="14"/>
      <c r="Q9" s="3"/>
    </row>
    <row r="10" spans="2:17" s="1" customFormat="1" ht="15" customHeight="1" x14ac:dyDescent="0.3">
      <c r="B10" s="1">
        <v>1</v>
      </c>
      <c r="C10" s="2" t="s">
        <v>11</v>
      </c>
      <c r="D10" s="14">
        <v>4</v>
      </c>
      <c r="E10" s="2" t="s">
        <v>8</v>
      </c>
      <c r="F10" s="14">
        <f>B10*D10</f>
        <v>4</v>
      </c>
      <c r="H10" s="3"/>
      <c r="K10" s="1">
        <v>1</v>
      </c>
      <c r="L10" s="2" t="s">
        <v>11</v>
      </c>
      <c r="M10" s="14">
        <v>4</v>
      </c>
      <c r="N10" s="2" t="s">
        <v>8</v>
      </c>
      <c r="O10" s="14">
        <f>K10*M10</f>
        <v>4</v>
      </c>
      <c r="Q10" s="3"/>
    </row>
    <row r="11" spans="2:17" s="1" customFormat="1" ht="15" customHeight="1" x14ac:dyDescent="0.3">
      <c r="B11" s="1" t="s">
        <v>12</v>
      </c>
      <c r="E11" s="2"/>
      <c r="F11" s="14"/>
      <c r="H11" s="16"/>
      <c r="K11" s="1" t="s">
        <v>12</v>
      </c>
      <c r="N11" s="2"/>
      <c r="O11" s="14"/>
      <c r="Q11" s="16"/>
    </row>
    <row r="12" spans="2:17" s="1" customFormat="1" ht="15" customHeight="1" x14ac:dyDescent="0.3">
      <c r="B12" s="1">
        <v>3</v>
      </c>
      <c r="C12" s="29" t="s">
        <v>0</v>
      </c>
      <c r="D12" s="30">
        <v>45.9</v>
      </c>
      <c r="E12" s="29" t="s">
        <v>8</v>
      </c>
      <c r="F12" s="14">
        <f>B12*D12</f>
        <v>137.69999999999999</v>
      </c>
      <c r="H12" s="16"/>
      <c r="K12" s="1">
        <v>3</v>
      </c>
      <c r="L12" s="29" t="s">
        <v>0</v>
      </c>
      <c r="M12" s="30">
        <v>45.9</v>
      </c>
      <c r="N12" s="29" t="s">
        <v>8</v>
      </c>
      <c r="O12" s="14">
        <f>K12*M12</f>
        <v>137.69999999999999</v>
      </c>
      <c r="Q12" s="16"/>
    </row>
    <row r="13" spans="2:17" s="1" customFormat="1" ht="15" customHeight="1" x14ac:dyDescent="0.3">
      <c r="B13" s="51" t="s">
        <v>1</v>
      </c>
      <c r="C13" s="2"/>
      <c r="E13" s="2"/>
      <c r="F13" s="52">
        <f>-F12*5%</f>
        <v>-6.8849999999999998</v>
      </c>
      <c r="H13" s="21"/>
      <c r="K13" s="51" t="s">
        <v>1</v>
      </c>
      <c r="L13" s="2"/>
      <c r="N13" s="2"/>
      <c r="O13" s="52">
        <f>-O12*5%</f>
        <v>-6.8849999999999998</v>
      </c>
      <c r="Q13" s="21"/>
    </row>
    <row r="14" spans="2:17" s="1" customFormat="1" ht="15" customHeight="1" x14ac:dyDescent="0.3">
      <c r="B14" s="1" t="s">
        <v>13</v>
      </c>
      <c r="C14" s="2"/>
      <c r="E14" s="2"/>
      <c r="F14" s="14"/>
      <c r="H14" s="3"/>
      <c r="K14" s="1" t="s">
        <v>13</v>
      </c>
      <c r="L14" s="2"/>
      <c r="N14" s="2"/>
      <c r="O14" s="14"/>
      <c r="Q14" s="3"/>
    </row>
    <row r="15" spans="2:17" s="1" customFormat="1" ht="15" customHeight="1" x14ac:dyDescent="0.3">
      <c r="B15" s="1">
        <v>0.85399999999999998</v>
      </c>
      <c r="C15" s="2" t="s">
        <v>0</v>
      </c>
      <c r="D15" s="1">
        <v>52.95</v>
      </c>
      <c r="E15" s="2" t="s">
        <v>8</v>
      </c>
      <c r="F15" s="14">
        <f>B15*D15</f>
        <v>45.219300000000004</v>
      </c>
      <c r="H15" s="16"/>
      <c r="K15" s="1">
        <v>0.85399999999999998</v>
      </c>
      <c r="L15" s="2" t="s">
        <v>0</v>
      </c>
      <c r="M15" s="1">
        <v>52.95</v>
      </c>
      <c r="N15" s="2" t="s">
        <v>8</v>
      </c>
      <c r="O15" s="14">
        <f>K15*M15</f>
        <v>45.219300000000004</v>
      </c>
      <c r="Q15" s="16"/>
    </row>
    <row r="16" spans="2:17" s="1" customFormat="1" ht="15" customHeight="1" x14ac:dyDescent="0.3">
      <c r="B16" s="1" t="s">
        <v>18</v>
      </c>
      <c r="E16" s="2"/>
      <c r="F16" s="14"/>
      <c r="H16" s="3"/>
      <c r="K16" s="1" t="s">
        <v>18</v>
      </c>
      <c r="N16" s="2"/>
      <c r="O16" s="14"/>
      <c r="Q16" s="3"/>
    </row>
    <row r="17" spans="2:17" s="1" customFormat="1" ht="15" customHeight="1" x14ac:dyDescent="0.3">
      <c r="B17" s="1">
        <v>6</v>
      </c>
      <c r="C17" s="2" t="s">
        <v>0</v>
      </c>
      <c r="D17" s="14">
        <v>11.3</v>
      </c>
      <c r="E17" s="2" t="s">
        <v>8</v>
      </c>
      <c r="F17" s="14">
        <f>B17*D17</f>
        <v>67.800000000000011</v>
      </c>
      <c r="H17" s="16"/>
      <c r="K17" s="1">
        <v>6</v>
      </c>
      <c r="L17" s="2" t="s">
        <v>0</v>
      </c>
      <c r="M17" s="14">
        <v>11.3</v>
      </c>
      <c r="N17" s="2" t="s">
        <v>8</v>
      </c>
      <c r="O17" s="14">
        <f>K17*M17</f>
        <v>67.800000000000011</v>
      </c>
      <c r="Q17" s="16"/>
    </row>
    <row r="18" spans="2:17" s="39" customFormat="1" ht="22.5" customHeight="1" x14ac:dyDescent="0.3">
      <c r="B18" s="47" t="s">
        <v>7</v>
      </c>
      <c r="C18" s="38"/>
      <c r="F18" s="53">
        <f>SUM(F7:F17)</f>
        <v>725.39967999999999</v>
      </c>
      <c r="H18" s="40"/>
      <c r="K18" s="47" t="s">
        <v>7</v>
      </c>
      <c r="L18" s="38"/>
      <c r="O18" s="53">
        <f>SUM(O7:O17)</f>
        <v>725.39967999999999</v>
      </c>
      <c r="Q18" s="40"/>
    </row>
    <row r="19" spans="2:17" s="1" customFormat="1" ht="22.5" customHeight="1" x14ac:dyDescent="0.3">
      <c r="B19" s="3"/>
      <c r="C19" s="3" t="s">
        <v>17</v>
      </c>
      <c r="F19" s="54">
        <f>F18/6</f>
        <v>120.89994666666666</v>
      </c>
      <c r="H19" s="16" t="s">
        <v>9</v>
      </c>
      <c r="K19" s="3"/>
      <c r="L19" s="3" t="s">
        <v>17</v>
      </c>
      <c r="O19" s="54">
        <f>O18/6</f>
        <v>120.89994666666666</v>
      </c>
      <c r="Q19" s="16" t="s">
        <v>9</v>
      </c>
    </row>
    <row r="20" spans="2:17" s="4" customFormat="1" ht="22.5" customHeight="1" x14ac:dyDescent="0.3">
      <c r="B20" s="41" t="s">
        <v>3</v>
      </c>
      <c r="F20" s="44">
        <v>800</v>
      </c>
      <c r="K20" s="41" t="s">
        <v>3</v>
      </c>
      <c r="O20" s="44">
        <v>800</v>
      </c>
    </row>
    <row r="21" spans="2:17" s="2" customFormat="1" ht="22.5" customHeight="1" x14ac:dyDescent="0.3">
      <c r="B21" s="3" t="s">
        <v>4</v>
      </c>
      <c r="F21" s="54">
        <f>-(F20-F18)</f>
        <v>-74.600320000000011</v>
      </c>
      <c r="H21" s="16" t="s">
        <v>10</v>
      </c>
      <c r="K21" s="3" t="s">
        <v>4</v>
      </c>
      <c r="O21" s="54">
        <f>-(O20-O18)</f>
        <v>-74.600320000000011</v>
      </c>
      <c r="Q21" s="16" t="s">
        <v>10</v>
      </c>
    </row>
    <row r="22" spans="2:17" s="1" customFormat="1" ht="22.5" customHeight="1" x14ac:dyDescent="0.3">
      <c r="B22" s="48">
        <v>45538</v>
      </c>
      <c r="C22" s="2"/>
      <c r="D22" s="2"/>
      <c r="E22" s="49"/>
      <c r="F22" s="45">
        <v>0.70671296296296304</v>
      </c>
      <c r="H22" s="3"/>
      <c r="K22" s="48">
        <v>45538</v>
      </c>
      <c r="N22" s="50"/>
      <c r="O22" s="45">
        <v>0.70671296296296304</v>
      </c>
      <c r="Q22" s="3"/>
    </row>
    <row r="23" spans="2:17" s="1" customFormat="1" ht="22.5" customHeight="1" x14ac:dyDescent="0.3">
      <c r="D23" s="1" t="s">
        <v>5</v>
      </c>
      <c r="H23" s="3"/>
      <c r="M23" s="1" t="s">
        <v>5</v>
      </c>
      <c r="Q23" s="3"/>
    </row>
  </sheetData>
  <pageMargins left="0.51181102362204722" right="0.6692913385826772" top="0.51181102362204722" bottom="0.51181102362204722" header="0.51181102362204722" footer="0.51181102362204722"/>
  <pageSetup paperSize="9" orientation="landscape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Аркуш1</vt:lpstr>
      <vt:lpstr>Аркуш2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2025-01-01T16:18:13Z</dcterms:created>
  <dcterms:modified xsi:type="dcterms:W3CDTF">2025-08-18T14:59:16Z</dcterms:modified>
</cp:coreProperties>
</file>